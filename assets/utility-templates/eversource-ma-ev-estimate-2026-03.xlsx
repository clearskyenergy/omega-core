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mc:AlternateContent xmlns:mc="http://schemas.openxmlformats.org/markup-compatibility/2006">
    <mc:Choice Requires="x15">
      <x15ac:absPath xmlns:x15ac="http://schemas.microsoft.com/office/spreadsheetml/2010/11/ac" url="C:\Users\Yancict\Desktop\"/>
    </mc:Choice>
  </mc:AlternateContent>
  <xr:revisionPtr revIDLastSave="0" documentId="8_{6154DC48-B7E0-432D-894A-70546F3D3C74}" xr6:coauthVersionLast="47" xr6:coauthVersionMax="47" xr10:uidLastSave="{00000000-0000-0000-0000-000000000000}"/>
  <bookViews>
    <workbookView xWindow="28680" yWindow="-120" windowWidth="29040" windowHeight="15720" xr2:uid="{00000000-000D-0000-FFFF-FFFF00000000}"/>
  </bookViews>
  <sheets>
    <sheet name="Cost Matrix ESMA" sheetId="1" r:id="rId1"/>
    <sheet name="Utility-Side vs Customer-Side" sheetId="2" state="hidden" r:id="rId2"/>
    <sheet name="Additional Items" sheetId="6" r:id="rId3"/>
    <sheet name="MA Cheat Sheet" sheetId="3" r:id="rId4"/>
    <sheet name="Changes" sheetId="5" state="hidden" r:id="rId5"/>
  </sheets>
  <definedNames>
    <definedName name="ColumnTitle1">SimpleInvoice[[#Headers],[Description]]</definedName>
    <definedName name="company_name">'Cost Matrix ESMA'!#REF!</definedName>
    <definedName name="_xlnm.Print_Area" localSheetId="0">'Cost Matrix ESMA'!$A$2:$L$65</definedName>
    <definedName name="_xlnm.Print_Titles" localSheetId="0">'Cost Matrix ESMA'!$8:$8</definedName>
    <definedName name="RowTitleRegion1..C7">'Cost Matrix ESMA'!#REF!</definedName>
    <definedName name="RowTitleRegion2..G5">'Cost Matrix ESMA'!#REF!</definedName>
    <definedName name="RowTitleRegion3..G26">'Cost Matrix ESMA'!#REF!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5" i="1" l="1"/>
  <c r="G56" i="1"/>
  <c r="G13" i="1"/>
  <c r="F50" i="6"/>
  <c r="H50" i="6" s="1"/>
  <c r="F49" i="6"/>
  <c r="H49" i="6" s="1"/>
  <c r="F48" i="6"/>
  <c r="H48" i="6" s="1"/>
  <c r="F47" i="6"/>
  <c r="H47" i="6" s="1"/>
  <c r="H46" i="6"/>
  <c r="F46" i="6"/>
  <c r="F43" i="6"/>
  <c r="H43" i="6" s="1"/>
  <c r="F42" i="6"/>
  <c r="H42" i="6" s="1"/>
  <c r="H41" i="6"/>
  <c r="F41" i="6"/>
  <c r="F40" i="6"/>
  <c r="H40" i="6" s="1"/>
  <c r="F39" i="6"/>
  <c r="H39" i="6" s="1"/>
  <c r="F36" i="6"/>
  <c r="H36" i="6" s="1"/>
  <c r="H35" i="6"/>
  <c r="F35" i="6"/>
  <c r="F34" i="6"/>
  <c r="H34" i="6" s="1"/>
  <c r="F33" i="6"/>
  <c r="H33" i="6" s="1"/>
  <c r="F32" i="6"/>
  <c r="H32" i="6" s="1"/>
  <c r="H29" i="6"/>
  <c r="F29" i="6"/>
  <c r="F28" i="6"/>
  <c r="H28" i="6" s="1"/>
  <c r="F27" i="6"/>
  <c r="H27" i="6" s="1"/>
  <c r="F26" i="6"/>
  <c r="H26" i="6" s="1"/>
  <c r="H25" i="6"/>
  <c r="F25" i="6"/>
  <c r="F22" i="6"/>
  <c r="H22" i="6" s="1"/>
  <c r="F21" i="6"/>
  <c r="H21" i="6" s="1"/>
  <c r="F20" i="6"/>
  <c r="H20" i="6" s="1"/>
  <c r="H19" i="6"/>
  <c r="F19" i="6"/>
  <c r="F18" i="6"/>
  <c r="H18" i="6" s="1"/>
  <c r="F15" i="6"/>
  <c r="H15" i="6" s="1"/>
  <c r="F14" i="6"/>
  <c r="H14" i="6" s="1"/>
  <c r="H13" i="6"/>
  <c r="F13" i="6"/>
  <c r="F12" i="6"/>
  <c r="H12" i="6" s="1"/>
  <c r="F11" i="6"/>
  <c r="H11" i="6" s="1"/>
  <c r="F8" i="6"/>
  <c r="H8" i="6" s="1"/>
  <c r="H7" i="6"/>
  <c r="F7" i="6"/>
  <c r="F6" i="6"/>
  <c r="H6" i="6" s="1"/>
  <c r="F5" i="6"/>
  <c r="H5" i="6" s="1"/>
  <c r="F4" i="6"/>
  <c r="G21" i="1"/>
  <c r="J21" i="1" s="1"/>
  <c r="G20" i="1"/>
  <c r="J20" i="1" s="1"/>
  <c r="G19" i="1"/>
  <c r="J19" i="1" s="1"/>
  <c r="G54" i="1"/>
  <c r="J54" i="1" s="1"/>
  <c r="G53" i="1"/>
  <c r="J53" i="1" s="1"/>
  <c r="G52" i="1"/>
  <c r="J52" i="1" s="1"/>
  <c r="G51" i="1"/>
  <c r="J51" i="1" s="1"/>
  <c r="G49" i="1"/>
  <c r="J49" i="1" s="1"/>
  <c r="G48" i="1"/>
  <c r="J48" i="1" s="1"/>
  <c r="G47" i="1"/>
  <c r="J47" i="1" s="1"/>
  <c r="G46" i="1"/>
  <c r="J46" i="1" s="1"/>
  <c r="G45" i="1"/>
  <c r="J45" i="1" s="1"/>
  <c r="G44" i="1"/>
  <c r="J44" i="1" s="1"/>
  <c r="G43" i="1"/>
  <c r="J43" i="1" s="1"/>
  <c r="G42" i="1"/>
  <c r="J42" i="1" s="1"/>
  <c r="G41" i="1"/>
  <c r="J41" i="1" s="1"/>
  <c r="G40" i="1"/>
  <c r="J40" i="1" s="1"/>
  <c r="G39" i="1"/>
  <c r="J39" i="1" s="1"/>
  <c r="G35" i="1"/>
  <c r="G33" i="1"/>
  <c r="G29" i="1"/>
  <c r="G27" i="1"/>
  <c r="G25" i="1"/>
  <c r="G24" i="1"/>
  <c r="G23" i="1"/>
  <c r="G22" i="1"/>
  <c r="G18" i="1"/>
  <c r="G17" i="1"/>
  <c r="G16" i="1"/>
  <c r="G15" i="1"/>
  <c r="G14" i="1"/>
  <c r="J24" i="1" l="1"/>
  <c r="J56" i="1"/>
  <c r="J10" i="1"/>
  <c r="G32" i="1"/>
  <c r="J32" i="1" s="1"/>
  <c r="J18" i="1" l="1"/>
  <c r="G34" i="1" l="1"/>
  <c r="J34" i="1" s="1"/>
  <c r="J11" i="1"/>
  <c r="J22" i="1"/>
  <c r="J23" i="1"/>
  <c r="J25" i="1"/>
  <c r="J13" i="1"/>
  <c r="J14" i="1"/>
  <c r="J15" i="1"/>
  <c r="J16" i="1"/>
  <c r="J17" i="1"/>
  <c r="J27" i="1"/>
  <c r="G28" i="1"/>
  <c r="J28" i="1" s="1"/>
  <c r="J29" i="1"/>
  <c r="G31" i="1"/>
  <c r="J31" i="1" s="1"/>
  <c r="J33" i="1"/>
  <c r="J35" i="1"/>
  <c r="G37" i="1"/>
  <c r="J55" i="1"/>
  <c r="J37" i="1" l="1"/>
  <c r="J60" i="1" s="1"/>
  <c r="J58" i="1"/>
  <c r="J59" i="1"/>
  <c r="J57" i="1"/>
  <c r="J62" i="1"/>
  <c r="J61" i="1" l="1"/>
  <c r="J64" i="1" s="1"/>
</calcChain>
</file>

<file path=xl/sharedStrings.xml><?xml version="1.0" encoding="utf-8"?>
<sst xmlns="http://schemas.openxmlformats.org/spreadsheetml/2006/main" count="305" uniqueCount="142">
  <si>
    <t xml:space="preserve">ESTIMATE </t>
  </si>
  <si>
    <r>
      <t xml:space="preserve">Eversource Project # </t>
    </r>
    <r>
      <rPr>
        <b/>
        <sz val="9"/>
        <color rgb="FF002060"/>
        <rFont val="Calibri"/>
        <family val="2"/>
      </rPr>
      <t>(ESMAEV-##### or HTMAEV-#####):</t>
    </r>
    <r>
      <rPr>
        <b/>
        <sz val="12"/>
        <color rgb="FF002060"/>
        <rFont val="Calibri"/>
        <family val="2"/>
      </rPr>
      <t xml:space="preserve"> </t>
    </r>
  </si>
  <si>
    <t>Site Information / System Details</t>
  </si>
  <si>
    <t>Installer Information</t>
  </si>
  <si>
    <t>Site Host Information</t>
  </si>
  <si>
    <t>Project Street Address:</t>
  </si>
  <si>
    <t xml:space="preserve">Company Name: </t>
  </si>
  <si>
    <t>Date of Submission (MM/DD/YYYY):</t>
  </si>
  <si>
    <t>Project City, State, ZIP Code:</t>
  </si>
  <si>
    <t>Contact Name:</t>
  </si>
  <si>
    <t>Port Type:</t>
  </si>
  <si>
    <t>Level 2</t>
  </si>
  <si>
    <t>Contact Email:</t>
  </si>
  <si>
    <t>Number of Ports:</t>
  </si>
  <si>
    <t>Contact Phone:</t>
  </si>
  <si>
    <t>Detail/Notes</t>
  </si>
  <si>
    <t>Unit Type</t>
  </si>
  <si>
    <t>Material Qty</t>
  </si>
  <si>
    <t>Material Unit Price</t>
  </si>
  <si>
    <t>Material Total</t>
  </si>
  <si>
    <t>Labor Total</t>
  </si>
  <si>
    <t>Subcontracted
(Y/N)</t>
  </si>
  <si>
    <t>Total Cost</t>
  </si>
  <si>
    <t>Eligible Design and Permitting costs</t>
  </si>
  <si>
    <t>Design/Engineering</t>
  </si>
  <si>
    <t>Total</t>
  </si>
  <si>
    <t>Permitting</t>
  </si>
  <si>
    <t>Eligible Customer-Side Infrastructure Make-Ready costs - Site and Electrical Work</t>
  </si>
  <si>
    <t>Trenching &amp; Backfill - Continuously Paved Area
(i.e., asphalt, concrete)</t>
  </si>
  <si>
    <t>Feet</t>
  </si>
  <si>
    <t>Trenching &amp; Backfill - Non-Continuously Paved Area
(i.e., grass)</t>
  </si>
  <si>
    <t>Conduit &amp; Cable - Underground</t>
  </si>
  <si>
    <t>Conduit &amp; Cable - Above Ground/Indoor</t>
  </si>
  <si>
    <t>Protective Bollards</t>
  </si>
  <si>
    <t>Each</t>
  </si>
  <si>
    <t>Handholes</t>
  </si>
  <si>
    <t>Manholes</t>
  </si>
  <si>
    <t>Concrete Work - EVSE Bases</t>
  </si>
  <si>
    <t>Concrete Work - Utility Transformer Pad</t>
  </si>
  <si>
    <t xml:space="preserve">Concrete Work - Other </t>
  </si>
  <si>
    <t>Specify:</t>
  </si>
  <si>
    <t>Distribution Equipment (i.e., panels, service board, breakers, enclosures)</t>
  </si>
  <si>
    <t>Metering Equipment (i.e., meter socket, CT cabinet)</t>
  </si>
  <si>
    <t>Other</t>
  </si>
  <si>
    <r>
      <t xml:space="preserve">Eligible Utility-Side Infrastructure Make-Ready costs - Site and Electrical Work - </t>
    </r>
    <r>
      <rPr>
        <b/>
        <i/>
        <sz val="14"/>
        <color theme="0"/>
        <rFont val="Calibri"/>
        <family val="2"/>
      </rPr>
      <t>Only applicable if contractor is installing utility-owned primary-side equipment - Refer to Tab #2</t>
    </r>
  </si>
  <si>
    <r>
      <t xml:space="preserve">Trenching &amp; Backfill for </t>
    </r>
    <r>
      <rPr>
        <b/>
        <sz val="11"/>
        <rFont val="Calibri"/>
        <family val="2"/>
      </rPr>
      <t>Primary Conduit</t>
    </r>
    <r>
      <rPr>
        <sz val="11"/>
        <rFont val="Calibri"/>
        <family val="2"/>
      </rPr>
      <t xml:space="preserve"> - Continuously Paved Area</t>
    </r>
  </si>
  <si>
    <r>
      <t>Trenching &amp; Backfill for</t>
    </r>
    <r>
      <rPr>
        <b/>
        <sz val="11"/>
        <rFont val="Calibri"/>
        <family val="2"/>
      </rPr>
      <t xml:space="preserve"> Primary Conduit</t>
    </r>
    <r>
      <rPr>
        <sz val="11"/>
        <rFont val="Calibri"/>
        <family val="2"/>
      </rPr>
      <t xml:space="preserve"> - Non-Continuously Paved Area</t>
    </r>
  </si>
  <si>
    <t>Primary Conduit (Concrete-encased)</t>
  </si>
  <si>
    <t>Eligible EVSE Costs</t>
  </si>
  <si>
    <t>EVSE Hardware #1</t>
  </si>
  <si>
    <t xml:space="preserve">Specify EVSE Type (L2, DCFC): 
Specify EVSE Make/Model: </t>
  </si>
  <si>
    <t>EVSE Hardware #2</t>
  </si>
  <si>
    <t>EVSE Freight/Shipping</t>
  </si>
  <si>
    <t>EVSE Installation</t>
  </si>
  <si>
    <t>Other (i.e., cable management, power management kits, mounting kits)</t>
  </si>
  <si>
    <t>Eligible Networking Costs</t>
  </si>
  <si>
    <t>EVSE Networking (Public L2s and MUDs only)</t>
  </si>
  <si>
    <t>Networking Services Provider:</t>
  </si>
  <si>
    <t>Ineligible Infrastructure Make-Ready costs - Infrastructure Site Work</t>
  </si>
  <si>
    <t>Future Proofing - Trenching &amp; Backfill (continuously paved area, i.e., asphalt, concrete)</t>
  </si>
  <si>
    <t>Future Proofing - Trenching &amp; Backfill (non-continuously paved area, i.e., grass)</t>
  </si>
  <si>
    <t>Future Proofing - Conduit &amp; Cable (underground)</t>
  </si>
  <si>
    <t>Future Proofing - Conduit &amp; Cable (above ground/indoor)</t>
  </si>
  <si>
    <t>Future Proofing - Protective Bollards</t>
  </si>
  <si>
    <t>Future Proofing - Concrete Work/Bases/Pads</t>
  </si>
  <si>
    <t>Future Proofing - Panels/Service Board/Breakers</t>
  </si>
  <si>
    <t>Future Proofing - Other</t>
  </si>
  <si>
    <t>Parking Spot Striping/Painting</t>
  </si>
  <si>
    <t xml:space="preserve"> </t>
  </si>
  <si>
    <t>Signage</t>
  </si>
  <si>
    <t>Sales Tax - Infrastructure</t>
  </si>
  <si>
    <t>Ineligible EVSE Costs</t>
  </si>
  <si>
    <t>Maintenance/Warranty Plan</t>
  </si>
  <si>
    <t>Activation Fee</t>
  </si>
  <si>
    <t>Validation</t>
  </si>
  <si>
    <t>EVSE Networking (Workplace, Fleet, DCFC)</t>
  </si>
  <si>
    <t>Sales Tax - EVSE</t>
  </si>
  <si>
    <t>Eligible Customer-Side Make-Ready Total (1)</t>
  </si>
  <si>
    <t>Eligible Utility-Side Make-Ready Total (2)</t>
  </si>
  <si>
    <t>Eligible EVSE Total (3)</t>
  </si>
  <si>
    <t>Eligible Networking Total (4)</t>
  </si>
  <si>
    <t>Estimate Total for Eligible Costs</t>
  </si>
  <si>
    <t>Estimate Total for Ineligible Costs</t>
  </si>
  <si>
    <t>Estimate Total for Eligible and Ineligible Costs</t>
  </si>
  <si>
    <r>
      <rPr>
        <b/>
        <u/>
        <sz val="10"/>
        <rFont val="Calibri"/>
        <family val="2"/>
      </rPr>
      <t xml:space="preserve">(1)  Customer-Side Make-Ready Total </t>
    </r>
    <r>
      <rPr>
        <sz val="10"/>
        <rFont val="Calibri"/>
        <family val="2"/>
      </rPr>
      <t xml:space="preserve">should match the amount in the </t>
    </r>
    <r>
      <rPr>
        <u/>
        <sz val="10"/>
        <rFont val="Calibri"/>
        <family val="2"/>
      </rPr>
      <t>Customer-Side Make Ready Infrastructure Cost</t>
    </r>
    <r>
      <rPr>
        <sz val="10"/>
        <rFont val="Calibri"/>
        <family val="2"/>
      </rPr>
      <t xml:space="preserve"> field in the PowerClerk Customer Application Portal for the EV application submitted.
*** </t>
    </r>
    <r>
      <rPr>
        <b/>
        <i/>
        <sz val="10"/>
        <rFont val="Calibri"/>
        <family val="2"/>
      </rPr>
      <t>PROJECTS WITH BOTH LEVEL 2 and DC FAST CHARGERS:</t>
    </r>
    <r>
      <rPr>
        <sz val="10"/>
        <rFont val="Calibri"/>
        <family val="2"/>
      </rPr>
      <t xml:space="preserve"> Please complete two separate applications in Powerclerk Customer Application Portal. Please estimate the Make Ready costs using the percentage of kW load attributed to that type of charger (e.g., if the total customer-side infrastructure estimate is $100,000 and the Level 2 chargers account for 25% of the total load, the Level 2 customer-side infrastructure estimate would be $25,000) ***</t>
    </r>
  </si>
  <si>
    <r>
      <rPr>
        <b/>
        <u/>
        <sz val="10"/>
        <rFont val="Calibri"/>
        <family val="2"/>
      </rPr>
      <t xml:space="preserve">(2)  Utility-Side Make-Ready Total </t>
    </r>
    <r>
      <rPr>
        <sz val="10"/>
        <rFont val="Calibri"/>
        <family val="2"/>
      </rPr>
      <t xml:space="preserve">should match the amount in the </t>
    </r>
    <r>
      <rPr>
        <u/>
        <sz val="10"/>
        <rFont val="Calibri"/>
        <family val="2"/>
      </rPr>
      <t>Utility-Side Make Ready Infrastructure Cost</t>
    </r>
    <r>
      <rPr>
        <sz val="10"/>
        <rFont val="Calibri"/>
        <family val="2"/>
      </rPr>
      <t xml:space="preserve"> field in the PowerClerk Customer Application Portal for the EV application submitted.
*** </t>
    </r>
    <r>
      <rPr>
        <b/>
        <i/>
        <sz val="10"/>
        <rFont val="Calibri"/>
        <family val="2"/>
      </rPr>
      <t>PROJECTS WITH BOTH LEVEL 2 and DC FAST CHARGERS:</t>
    </r>
    <r>
      <rPr>
        <sz val="10"/>
        <rFont val="Calibri"/>
        <family val="2"/>
      </rPr>
      <t xml:space="preserve"> Please complete two separate applications in Powerclerk Customer Application Portal. Please estimate the Make Ready costs using the percentage of kW load attributed to that type of charger (e.g., if the total utility-side infrastructure estimate is $100,000 and the Level 2 chargers account for 25% of the total load, the Level 2 utility -side infrastructure estimate would be $25,000) ***</t>
    </r>
  </si>
  <si>
    <r>
      <rPr>
        <b/>
        <u/>
        <sz val="10"/>
        <rFont val="Calibri"/>
        <family val="2"/>
      </rPr>
      <t>(3)  EVSE Total</t>
    </r>
    <r>
      <rPr>
        <sz val="10"/>
        <rFont val="Calibri"/>
        <family val="2"/>
      </rPr>
      <t xml:space="preserve"> should match the amount in the </t>
    </r>
    <r>
      <rPr>
        <u/>
        <sz val="10"/>
        <rFont val="Calibri"/>
        <family val="2"/>
      </rPr>
      <t xml:space="preserve">EVSE Cost </t>
    </r>
    <r>
      <rPr>
        <sz val="10"/>
        <rFont val="Calibri"/>
        <family val="2"/>
      </rPr>
      <t xml:space="preserve">field in the PowerClerk Customer Application Portal for the EV application submitted.        </t>
    </r>
  </si>
  <si>
    <r>
      <rPr>
        <b/>
        <u/>
        <sz val="10"/>
        <rFont val="Calibri"/>
        <family val="2"/>
      </rPr>
      <t>(4)  Networking Total</t>
    </r>
    <r>
      <rPr>
        <sz val="10"/>
        <rFont val="Calibri"/>
        <family val="2"/>
      </rPr>
      <t xml:space="preserve"> should match the amount in the </t>
    </r>
    <r>
      <rPr>
        <u/>
        <sz val="10"/>
        <rFont val="Calibri"/>
        <family val="2"/>
      </rPr>
      <t xml:space="preserve">Networking Cost </t>
    </r>
    <r>
      <rPr>
        <sz val="10"/>
        <rFont val="Calibri"/>
        <family val="2"/>
      </rPr>
      <t xml:space="preserve">field in the PowerClerk Customer Application Portal for the EV application submitted.        </t>
    </r>
  </si>
  <si>
    <t>Utility-Side means Eversource-Owned, Customer-Side means Customer-Owned. Please refer to table below.</t>
  </si>
  <si>
    <t>Property</t>
  </si>
  <si>
    <t>Equipment Type</t>
  </si>
  <si>
    <t>Installation</t>
  </si>
  <si>
    <t>Ownership</t>
  </si>
  <si>
    <t>Maintenance</t>
  </si>
  <si>
    <t>Public Right of Way</t>
  </si>
  <si>
    <t>Overhead Cable - Primary or Secondary</t>
  </si>
  <si>
    <t>Eversource</t>
  </si>
  <si>
    <t>Underground Cable &amp; Conduit - Primary or Secondary</t>
  </si>
  <si>
    <t>Private Property</t>
  </si>
  <si>
    <t>Eversource*</t>
  </si>
  <si>
    <t>Underground Cable - Primary</t>
  </si>
  <si>
    <t>Underground Conduit - Primary</t>
  </si>
  <si>
    <t>Customer</t>
  </si>
  <si>
    <t>Underground Cable &amp; Conduit - Secondary</t>
  </si>
  <si>
    <t>Transformer Pad</t>
  </si>
  <si>
    <t>Pad-Mounted Transformer</t>
  </si>
  <si>
    <t>Pole</t>
  </si>
  <si>
    <t>Pole-Mounted Transformer</t>
  </si>
  <si>
    <t>Meter Socket, CT Cabinet</t>
  </si>
  <si>
    <t>Meter</t>
  </si>
  <si>
    <t>All Other Facilities</t>
  </si>
  <si>
    <t>Broke out bases into separate rows</t>
  </si>
  <si>
    <t>* Cambridge, South Shore, Cape &amp; MV: Customer may elect to install cable, using Eversource-approved contractor and in accordance with Eversource material and construction specifications.</t>
  </si>
  <si>
    <t>DCFC</t>
  </si>
  <si>
    <t>Cost Item</t>
  </si>
  <si>
    <t>Material Quantity</t>
  </si>
  <si>
    <t>Material United Price</t>
  </si>
  <si>
    <t>Subcontracted Y/N</t>
  </si>
  <si>
    <r>
      <t xml:space="preserve">Eligible Utility-Side Infrastructure Make-Ready costs - Site and Electrical Work - </t>
    </r>
    <r>
      <rPr>
        <b/>
        <sz val="11"/>
        <color theme="0"/>
        <rFont val="Arial"/>
        <family val="2"/>
      </rPr>
      <t>Only applicable if contractor is installing utility-owned primary-side equipment - Refer to Tab #2</t>
    </r>
  </si>
  <si>
    <r>
      <rPr>
        <b/>
        <sz val="16"/>
        <color theme="2" tint="-0.89996032593768116"/>
        <rFont val="Arial"/>
        <family val="2"/>
        <scheme val="minor"/>
      </rPr>
      <t>Eligibility Guidance:</t>
    </r>
    <r>
      <rPr>
        <sz val="16"/>
        <color theme="2" tint="-0.89996032593768116"/>
        <rFont val="Arial"/>
        <family val="2"/>
        <scheme val="minor"/>
      </rPr>
      <t xml:space="preserve">
I recommend carefully reviewing our</t>
    </r>
    <r>
      <rPr>
        <u/>
        <sz val="16"/>
        <color rgb="FF0070C0"/>
        <rFont val="Arial"/>
        <family val="2"/>
        <scheme val="minor"/>
      </rPr>
      <t xml:space="preserve"> program guide</t>
    </r>
    <r>
      <rPr>
        <sz val="16"/>
        <color theme="2" tint="-0.89996032593768116"/>
        <rFont val="Arial"/>
        <family val="2"/>
        <scheme val="minor"/>
      </rPr>
      <t xml:space="preserve"> to ensure you correctly classify costs as eligible or ineligible.
</t>
    </r>
  </si>
  <si>
    <t>Added "x" to H29</t>
  </si>
  <si>
    <t>Added "x" to I29</t>
  </si>
  <si>
    <t>Added "x" to H30</t>
  </si>
  <si>
    <t>Added "x" to I30</t>
  </si>
  <si>
    <t>Added "x" to I35</t>
  </si>
  <si>
    <t>Added "x" to I51</t>
  </si>
  <si>
    <t>Added "x" to I53</t>
  </si>
  <si>
    <t>Added "x" to H35</t>
  </si>
  <si>
    <t>Revised typo in B20</t>
  </si>
  <si>
    <t>Changed text in B3</t>
  </si>
  <si>
    <t>Added date field to B6 and B7</t>
  </si>
  <si>
    <t>Added blue highlight to B4, B6, D4, D5, F4, I4</t>
  </si>
  <si>
    <t>Added estimate rev. date to J1</t>
  </si>
  <si>
    <t xml:space="preserve">included J27 to the formula in J56 </t>
  </si>
  <si>
    <t>Added "Specify:" to C18</t>
  </si>
  <si>
    <t>Broke out handholes and manholes into separate rows (row 18 and row 19)</t>
  </si>
  <si>
    <t>Broke out bases into separate rows (row 20,21,22)</t>
  </si>
  <si>
    <t>CONFIDENTIAL</t>
  </si>
  <si>
    <t>`</t>
  </si>
  <si>
    <t>Description</t>
  </si>
  <si>
    <t>TEMPLATE IS SUBJECT TO CHANGE, CONFIRM REVISION IN POWERCLERK BEFORE USE</t>
  </si>
  <si>
    <t>Rev.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</si>
</sst>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_)"/>
    <numFmt numFmtId="165" formatCode="[&lt;=9999999]###\-####;\(###\)\ ###\-####"/>
    <numFmt numFmtId="166" formatCode="#.00_)"/>
    <numFmt numFmtId="167" formatCode="_(&quot;$&quot;* #,##0.0000_);_(&quot;$&quot;* \(#,##0.0000\);_(&quot;$&quot;* &quot;-&quot;??_);_(@_)"/>
  </numFmts>
  <fonts count="45" x14ac:knownFonts="1">
    <font>
      <sz val="11"/>
      <color theme="2" tint="-0.749961851863155"/>
      <name val="Arial"/>
      <family val="2"/>
      <scheme val="minor"/>
    </font>
    <font>
      <sz val="11"/>
      <color theme="1"/>
      <name val="Arial"/>
      <family val="2"/>
      <scheme val="minor"/>
    </font>
    <font>
      <sz val="11"/>
      <color theme="1"/>
      <name val="Arial"/>
      <family val="2"/>
      <scheme val="minor"/>
    </font>
    <font>
      <b/>
      <sz val="10"/>
      <name val="Arial"/>
      <family val="2"/>
    </font>
    <font>
      <sz val="14"/>
      <color theme="4" tint="-0.24994659260841701"/>
      <name val="Arial"/>
      <family val="2"/>
      <scheme val="minor"/>
    </font>
    <font>
      <b/>
      <sz val="25"/>
      <color theme="0"/>
      <name val="Arial"/>
      <family val="2"/>
      <scheme val="major"/>
    </font>
    <font>
      <sz val="11"/>
      <color theme="2" tint="-0.89996032593768116"/>
      <name val="Arial"/>
      <family val="2"/>
      <scheme val="minor"/>
    </font>
    <font>
      <b/>
      <sz val="11"/>
      <color theme="1"/>
      <name val="Arial"/>
      <family val="2"/>
      <scheme val="minor"/>
    </font>
    <font>
      <sz val="11"/>
      <color theme="5" tint="-0.24994659260841701"/>
      <name val="Arial"/>
      <family val="2"/>
      <scheme val="minor"/>
    </font>
    <font>
      <sz val="11"/>
      <color theme="2" tint="-0.89989928891872917"/>
      <name val="Arial"/>
      <family val="2"/>
      <scheme val="minor"/>
    </font>
    <font>
      <sz val="11"/>
      <color theme="2" tint="-0.749992370372631"/>
      <name val="Arial"/>
      <family val="2"/>
      <scheme val="minor"/>
    </font>
    <font>
      <sz val="11"/>
      <color theme="4" tint="-0.499984740745262"/>
      <name val="Arial"/>
      <family val="2"/>
      <scheme val="major"/>
    </font>
    <font>
      <sz val="11"/>
      <color theme="2" tint="-0.749961851863155"/>
      <name val="Arial"/>
      <family val="2"/>
      <scheme val="minor"/>
    </font>
    <font>
      <sz val="11"/>
      <color theme="3"/>
      <name val="Arial"/>
      <family val="2"/>
      <scheme val="minor"/>
    </font>
    <font>
      <sz val="11"/>
      <name val="Arial"/>
      <family val="2"/>
      <scheme val="minor"/>
    </font>
    <font>
      <sz val="11"/>
      <color theme="4" tint="-0.499984740745262"/>
      <name val="Arial"/>
      <family val="2"/>
      <scheme val="minor"/>
    </font>
    <font>
      <sz val="11"/>
      <color theme="2" tint="-0.749961851863155"/>
      <name val="Calibri"/>
      <family val="2"/>
    </font>
    <font>
      <b/>
      <sz val="12"/>
      <color theme="0"/>
      <name val="Calibri"/>
      <family val="2"/>
    </font>
    <font>
      <b/>
      <sz val="25"/>
      <color theme="0"/>
      <name val="Calibri"/>
      <family val="2"/>
    </font>
    <font>
      <sz val="8"/>
      <color theme="2" tint="-0.749961851863155"/>
      <name val="Calibri"/>
      <family val="2"/>
    </font>
    <font>
      <sz val="10"/>
      <name val="Calibri"/>
      <family val="2"/>
    </font>
    <font>
      <sz val="11"/>
      <name val="Calibri"/>
      <family val="2"/>
    </font>
    <font>
      <b/>
      <sz val="11"/>
      <name val="Calibri"/>
      <family val="2"/>
    </font>
    <font>
      <b/>
      <sz val="14"/>
      <name val="Calibri"/>
      <family val="2"/>
    </font>
    <font>
      <b/>
      <u/>
      <sz val="12"/>
      <name val="Calibri"/>
      <family val="2"/>
    </font>
    <font>
      <b/>
      <u/>
      <sz val="10"/>
      <name val="Calibri"/>
      <family val="2"/>
    </font>
    <font>
      <u/>
      <sz val="10"/>
      <name val="Calibri"/>
      <family val="2"/>
    </font>
    <font>
      <b/>
      <i/>
      <sz val="10"/>
      <name val="Calibri"/>
      <family val="2"/>
    </font>
    <font>
      <sz val="12"/>
      <name val="Calibri"/>
      <family val="2"/>
    </font>
    <font>
      <b/>
      <i/>
      <sz val="14"/>
      <color theme="0"/>
      <name val="Calibri"/>
      <family val="2"/>
    </font>
    <font>
      <i/>
      <sz val="11"/>
      <name val="Arial"/>
      <family val="2"/>
      <scheme val="minor"/>
    </font>
    <font>
      <u/>
      <sz val="11"/>
      <name val="Calibri"/>
      <family val="2"/>
    </font>
    <font>
      <i/>
      <sz val="11"/>
      <name val="Calibri"/>
      <family val="2"/>
    </font>
    <font>
      <u/>
      <sz val="11"/>
      <color theme="10"/>
      <name val="Arial"/>
      <family val="2"/>
      <scheme val="minor"/>
    </font>
    <font>
      <b/>
      <sz val="11"/>
      <color rgb="FFFF0000"/>
      <name val="Calibri"/>
      <family val="2"/>
    </font>
    <font>
      <b/>
      <sz val="12"/>
      <name val="Calibri"/>
      <family val="2"/>
    </font>
    <font>
      <b/>
      <sz val="9"/>
      <color rgb="FF002060"/>
      <name val="Calibri"/>
      <family val="2"/>
    </font>
    <font>
      <b/>
      <sz val="12"/>
      <color rgb="FF002060"/>
      <name val="Calibri"/>
      <family val="2"/>
    </font>
    <font>
      <sz val="16"/>
      <color theme="2" tint="-0.89996032593768116"/>
      <name val="Arial"/>
      <family val="2"/>
      <scheme val="minor"/>
    </font>
    <font>
      <b/>
      <sz val="16"/>
      <color theme="2" tint="-0.89996032593768116"/>
      <name val="Arial"/>
      <family val="2"/>
      <scheme val="minor"/>
    </font>
    <font>
      <u/>
      <sz val="16"/>
      <color rgb="FF0070C0"/>
      <name val="Arial"/>
      <family val="2"/>
      <scheme val="minor"/>
    </font>
    <font>
      <b/>
      <sz val="18"/>
      <color theme="0"/>
      <name val="Arial"/>
      <family val="2"/>
    </font>
    <font>
      <sz val="18"/>
      <color theme="1"/>
      <name val="Arial"/>
      <family val="2"/>
      <scheme val="minor"/>
    </font>
    <font>
      <b/>
      <sz val="13"/>
      <color rgb="FF002060"/>
      <name val="Calibri"/>
      <family val="2"/>
    </font>
    <font>
      <b/>
      <sz val="11"/>
      <color theme="0"/>
      <name val="Arial"/>
      <family val="2"/>
    </font>
  </fonts>
  <fills count="13">
    <fill>
      <patternFill patternType="none"/>
    </fill>
    <fill>
      <patternFill patternType="gray125"/>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00B050"/>
        <bgColor indexed="64"/>
      </patternFill>
    </fill>
    <fill>
      <patternFill patternType="solid">
        <fgColor theme="7" tint="0.499984740745262"/>
        <bgColor indexed="64"/>
      </patternFill>
    </fill>
    <fill>
      <patternFill patternType="solid">
        <fgColor theme="0" tint="-0.249977111117893"/>
        <bgColor indexed="64"/>
      </patternFill>
    </fill>
    <fill>
      <patternFill patternType="solid">
        <fgColor theme="7" tint="0.89999084444715716"/>
        <bgColor indexed="64"/>
      </patternFill>
    </fill>
    <fill>
      <patternFill patternType="solid">
        <fgColor theme="0" tint="-4.9989318521683403E-2"/>
        <bgColor indexed="64"/>
      </patternFill>
    </fill>
    <fill>
      <patternFill patternType="solid">
        <fgColor theme="2"/>
        <bgColor indexed="64"/>
      </patternFill>
    </fill>
  </fills>
  <borders count="72">
    <border>
      <left/>
      <right/>
      <top/>
      <bottom/>
      <diagonal/>
    </border>
    <border>
      <left style="thin">
        <color theme="4"/>
      </left>
      <right style="thin">
        <color theme="4"/>
      </right>
      <top style="thin">
        <color theme="4"/>
      </top>
      <bottom style="thin">
        <color theme="4"/>
      </bottom>
      <diagonal/>
    </border>
    <border>
      <left/>
      <right/>
      <top/>
      <bottom style="thick">
        <color theme="4" tint="0.59996337778862885"/>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medium">
        <color auto="1"/>
      </left>
      <right style="medium">
        <color auto="1"/>
      </right>
      <top style="thin">
        <color theme="1"/>
      </top>
      <bottom/>
      <diagonal/>
    </border>
    <border>
      <left style="medium">
        <color auto="1"/>
      </left>
      <right style="medium">
        <color auto="1"/>
      </right>
      <top/>
      <bottom/>
      <diagonal/>
    </border>
    <border>
      <left style="medium">
        <color auto="1"/>
      </left>
      <right style="medium">
        <color auto="1"/>
      </right>
      <top/>
      <bottom style="medium">
        <color indexed="64"/>
      </bottom>
      <diagonal/>
    </border>
    <border>
      <left style="thin">
        <color theme="1"/>
      </left>
      <right style="thin">
        <color theme="1"/>
      </right>
      <top style="thin">
        <color theme="1"/>
      </top>
      <bottom/>
      <diagonal/>
    </border>
    <border>
      <left style="thin">
        <color theme="1"/>
      </left>
      <right style="thin">
        <color theme="1"/>
      </right>
      <top style="medium">
        <color auto="1"/>
      </top>
      <bottom style="thin">
        <color theme="1"/>
      </bottom>
      <diagonal/>
    </border>
    <border>
      <left style="thin">
        <color auto="1"/>
      </left>
      <right style="thin">
        <color theme="1"/>
      </right>
      <top style="medium">
        <color auto="1"/>
      </top>
      <bottom style="thin">
        <color theme="1"/>
      </bottom>
      <diagonal/>
    </border>
    <border>
      <left style="thin">
        <color auto="1"/>
      </left>
      <right style="thin">
        <color theme="1"/>
      </right>
      <top style="thin">
        <color theme="1"/>
      </top>
      <bottom style="thin">
        <color theme="1"/>
      </bottom>
      <diagonal/>
    </border>
    <border>
      <left style="medium">
        <color indexed="64"/>
      </left>
      <right style="thin">
        <color auto="1"/>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theme="1"/>
      </right>
      <top style="medium">
        <color auto="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top style="thin">
        <color theme="1"/>
      </top>
      <bottom/>
      <diagonal/>
    </border>
    <border>
      <left style="thin">
        <color theme="1"/>
      </left>
      <right/>
      <top style="medium">
        <color auto="1"/>
      </top>
      <bottom style="thin">
        <color theme="1"/>
      </bottom>
      <diagonal/>
    </border>
    <border>
      <left style="medium">
        <color indexed="64"/>
      </left>
      <right style="thin">
        <color auto="1"/>
      </right>
      <top/>
      <bottom style="thin">
        <color indexed="64"/>
      </bottom>
      <diagonal/>
    </border>
    <border>
      <left style="thin">
        <color auto="1"/>
      </left>
      <right style="thin">
        <color theme="1"/>
      </right>
      <top/>
      <bottom style="thin">
        <color theme="1"/>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theme="1"/>
      </left>
      <right style="medium">
        <color auto="1"/>
      </right>
      <top/>
      <bottom style="thin">
        <color theme="1"/>
      </bottom>
      <diagonal/>
    </border>
    <border>
      <left style="thin">
        <color theme="1"/>
      </left>
      <right/>
      <top/>
      <bottom style="thin">
        <color theme="1"/>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right style="medium">
        <color auto="1"/>
      </right>
      <top style="thin">
        <color theme="1"/>
      </top>
      <bottom style="thin">
        <color theme="1"/>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theme="1"/>
      </right>
      <top style="thin">
        <color theme="1"/>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thin">
        <color theme="1"/>
      </top>
      <bottom style="thin">
        <color theme="1"/>
      </bottom>
      <diagonal/>
    </border>
    <border>
      <left style="thin">
        <color theme="1"/>
      </left>
      <right style="medium">
        <color auto="1"/>
      </right>
      <top/>
      <bottom style="medium">
        <color indexed="64"/>
      </bottom>
      <diagonal/>
    </border>
    <border>
      <left style="thin">
        <color theme="1"/>
      </left>
      <right style="medium">
        <color auto="1"/>
      </right>
      <top style="thin">
        <color theme="1"/>
      </top>
      <bottom style="thin">
        <color theme="1"/>
      </bottom>
      <diagonal/>
    </border>
    <border>
      <left style="thin">
        <color indexed="64"/>
      </left>
      <right style="medium">
        <color auto="1"/>
      </right>
      <top/>
      <bottom style="thin">
        <color indexed="64"/>
      </bottom>
      <diagonal/>
    </border>
    <border>
      <left style="thin">
        <color indexed="64"/>
      </left>
      <right style="medium">
        <color auto="1"/>
      </right>
      <top style="thin">
        <color theme="1"/>
      </top>
      <bottom style="thin">
        <color indexed="64"/>
      </bottom>
      <diagonal/>
    </border>
    <border>
      <left style="medium">
        <color indexed="64"/>
      </left>
      <right style="thin">
        <color auto="1"/>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style="medium">
        <color rgb="FF0070C0"/>
      </right>
      <top style="medium">
        <color rgb="FF0070C0"/>
      </top>
      <bottom style="medium">
        <color rgb="FF0070C0"/>
      </bottom>
      <diagonal/>
    </border>
    <border>
      <left/>
      <right style="medium">
        <color rgb="FF0070C0"/>
      </right>
      <top/>
      <bottom style="medium">
        <color rgb="FF0070C0"/>
      </bottom>
      <diagonal/>
    </border>
    <border>
      <left style="medium">
        <color rgb="FF0070C0"/>
      </left>
      <right style="medium">
        <color rgb="FF0070C0"/>
      </right>
      <top/>
      <bottom style="medium">
        <color rgb="FF0070C0"/>
      </bottom>
      <diagonal/>
    </border>
    <border>
      <left style="medium">
        <color rgb="FF0070C0"/>
      </left>
      <right/>
      <top/>
      <bottom style="medium">
        <color rgb="FF0070C0"/>
      </bottom>
      <diagonal/>
    </border>
    <border>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top style="thin">
        <color rgb="FF0070C0"/>
      </top>
      <bottom style="thin">
        <color rgb="FF0070C0"/>
      </bottom>
      <diagonal/>
    </border>
    <border>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diagonal/>
    </border>
  </borders>
  <cellStyleXfs count="23">
    <xf numFmtId="0" fontId="0" fillId="0" borderId="0" applyFill="0" applyBorder="0">
      <alignment horizontal="left" vertical="center" wrapText="1" indent="1"/>
    </xf>
    <xf numFmtId="0" fontId="6" fillId="0" borderId="0" applyNumberFormat="0" applyFill="0" applyBorder="0" applyAlignment="0" applyProtection="0"/>
    <xf numFmtId="0" fontId="11" fillId="0" borderId="0" applyNumberFormat="0" applyFill="0" applyBorder="0" applyProtection="0">
      <alignment vertical="center"/>
    </xf>
    <xf numFmtId="0" fontId="4" fillId="0" borderId="0" applyNumberFormat="0" applyFill="0" applyBorder="0" applyProtection="0">
      <alignment horizontal="left" vertical="center" indent="1"/>
    </xf>
    <xf numFmtId="10" fontId="13" fillId="0" borderId="0" applyFill="0" applyBorder="0" applyProtection="0">
      <alignment horizontal="right" vertical="center"/>
    </xf>
    <xf numFmtId="0" fontId="6" fillId="0" borderId="0" applyNumberFormat="0" applyFill="0" applyBorder="0" applyAlignment="0" applyProtection="0">
      <alignment vertical="top" wrapText="1"/>
    </xf>
    <xf numFmtId="0" fontId="5" fillId="3" borderId="2" applyProtection="0">
      <alignment vertical="center"/>
    </xf>
    <xf numFmtId="0" fontId="6" fillId="2" borderId="0" applyNumberFormat="0" applyBorder="0" applyProtection="0">
      <alignment vertical="center" wrapText="1"/>
    </xf>
    <xf numFmtId="0" fontId="14" fillId="0" borderId="1" applyFill="0" applyProtection="0">
      <alignment horizontal="right" vertical="center" indent="1"/>
    </xf>
    <xf numFmtId="0" fontId="8" fillId="0" borderId="0" applyNumberFormat="0" applyFill="0" applyBorder="0" applyAlignment="0" applyProtection="0"/>
    <xf numFmtId="0" fontId="9" fillId="0" borderId="0" applyNumberFormat="0" applyFill="0" applyBorder="0" applyAlignment="0" applyProtection="0"/>
    <xf numFmtId="0" fontId="7" fillId="0" borderId="1" applyNumberFormat="0" applyAlignment="0" applyProtection="0"/>
    <xf numFmtId="0" fontId="6" fillId="5" borderId="0" applyBorder="0" applyProtection="0">
      <alignment horizontal="left" indent="1"/>
    </xf>
    <xf numFmtId="44" fontId="12" fillId="0" borderId="0" applyFont="0" applyFill="0" applyBorder="0" applyProtection="0">
      <alignment horizontal="right" vertical="center"/>
    </xf>
    <xf numFmtId="44" fontId="13" fillId="0" borderId="0" applyFill="0" applyBorder="0" applyProtection="0">
      <alignment horizontal="right" vertical="center"/>
    </xf>
    <xf numFmtId="0" fontId="15" fillId="4" borderId="0" applyNumberFormat="0" applyBorder="0" applyProtection="0">
      <alignment horizontal="left" vertical="top" wrapText="1" indent="1"/>
    </xf>
    <xf numFmtId="165" fontId="6" fillId="0" borderId="0" applyFont="0" applyFill="0" applyBorder="0" applyAlignment="0">
      <alignment vertical="center"/>
    </xf>
    <xf numFmtId="164" fontId="12" fillId="0" borderId="0" applyFont="0" applyFill="0" applyBorder="0">
      <alignment horizontal="right" vertical="center"/>
    </xf>
    <xf numFmtId="14" fontId="10" fillId="0" borderId="0" applyFont="0" applyFill="0" applyBorder="0" applyAlignment="0" applyProtection="0">
      <alignment horizontal="left" wrapText="1"/>
    </xf>
    <xf numFmtId="0" fontId="33" fillId="0" borderId="0" applyNumberFormat="0" applyFill="0" applyBorder="0" applyAlignment="0" applyProtection="0"/>
    <xf numFmtId="0" fontId="2" fillId="0" borderId="0"/>
    <xf numFmtId="0" fontId="1" fillId="0" borderId="0"/>
    <xf numFmtId="44" fontId="1" fillId="0" borderId="0" applyFont="0" applyFill="0" applyBorder="0" applyAlignment="0" applyProtection="0"/>
  </cellStyleXfs>
  <cellXfs count="199">
    <xf numFmtId="0" fontId="0" fillId="0" borderId="0" xfId="0">
      <alignment horizontal="left" vertical="center" wrapText="1" indent="1"/>
    </xf>
    <xf numFmtId="44" fontId="21" fillId="0" borderId="7" xfId="13" applyFont="1" applyFill="1" applyBorder="1" applyAlignment="1" applyProtection="1">
      <alignment horizontal="center" vertical="center" wrapText="1"/>
    </xf>
    <xf numFmtId="44" fontId="21" fillId="0" borderId="5" xfId="13" applyFont="1" applyFill="1" applyBorder="1" applyAlignment="1" applyProtection="1">
      <alignment horizontal="center" vertical="center" wrapText="1"/>
    </xf>
    <xf numFmtId="44" fontId="21" fillId="0" borderId="29" xfId="13" applyFont="1" applyFill="1" applyBorder="1" applyAlignment="1" applyProtection="1">
      <alignment horizontal="center" vertical="center" wrapText="1"/>
    </xf>
    <xf numFmtId="44" fontId="21" fillId="0" borderId="30" xfId="13" applyFont="1" applyFill="1" applyBorder="1" applyAlignment="1" applyProtection="1">
      <alignment horizontal="center" vertical="center" wrapText="1"/>
    </xf>
    <xf numFmtId="44" fontId="21" fillId="0" borderId="39" xfId="3" applyNumberFormat="1" applyFont="1" applyFill="1" applyBorder="1" applyProtection="1">
      <alignment horizontal="left" vertical="center" indent="1"/>
    </xf>
    <xf numFmtId="44" fontId="21" fillId="0" borderId="42" xfId="13" applyFont="1" applyFill="1" applyBorder="1" applyAlignment="1" applyProtection="1">
      <alignment horizontal="center" vertical="center" wrapText="1"/>
    </xf>
    <xf numFmtId="44" fontId="21" fillId="0" borderId="47" xfId="13" applyFont="1" applyFill="1" applyBorder="1" applyAlignment="1" applyProtection="1">
      <alignment horizontal="center" vertical="center" wrapText="1"/>
    </xf>
    <xf numFmtId="44" fontId="21" fillId="0" borderId="49" xfId="13" applyFont="1" applyFill="1" applyBorder="1" applyAlignment="1" applyProtection="1">
      <alignment horizontal="center" vertical="center" wrapText="1"/>
    </xf>
    <xf numFmtId="44" fontId="21" fillId="0" borderId="50" xfId="13" applyFont="1" applyFill="1" applyBorder="1" applyAlignment="1" applyProtection="1">
      <alignment horizontal="center" vertical="center" wrapText="1"/>
    </xf>
    <xf numFmtId="44" fontId="21" fillId="0" borderId="51" xfId="13" applyFont="1" applyFill="1" applyBorder="1" applyAlignment="1" applyProtection="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30" fillId="0" borderId="0" xfId="0" applyFont="1" applyAlignment="1">
      <alignment horizontal="left" vertical="center" indent="1"/>
    </xf>
    <xf numFmtId="0" fontId="14" fillId="0" borderId="0" xfId="0" applyFont="1" applyAlignment="1">
      <alignment horizontal="center" vertical="center" wrapText="1"/>
    </xf>
    <xf numFmtId="0" fontId="14" fillId="0" borderId="0" xfId="0" applyFont="1" applyAlignment="1">
      <alignment vertical="center" wrapText="1"/>
    </xf>
    <xf numFmtId="0" fontId="14" fillId="0" borderId="0" xfId="0" applyFont="1">
      <alignment horizontal="left" vertical="center" wrapText="1" indent="1"/>
    </xf>
    <xf numFmtId="0" fontId="31" fillId="0" borderId="5" xfId="0" applyFont="1" applyBorder="1" applyAlignment="1">
      <alignment horizontal="center" vertical="center" wrapText="1"/>
    </xf>
    <xf numFmtId="0" fontId="14" fillId="0" borderId="0" xfId="0" applyFont="1" applyBorder="1">
      <alignment horizontal="left" vertical="center" wrapText="1" indent="1"/>
    </xf>
    <xf numFmtId="0" fontId="21" fillId="0" borderId="5" xfId="0" applyFont="1" applyBorder="1" applyAlignment="1">
      <alignment vertical="center" wrapText="1"/>
    </xf>
    <xf numFmtId="0" fontId="21" fillId="0" borderId="5" xfId="0" applyFont="1" applyBorder="1" applyAlignment="1">
      <alignment horizontal="center" vertical="center" wrapText="1"/>
    </xf>
    <xf numFmtId="0" fontId="14" fillId="0" borderId="0" xfId="0" applyFont="1" applyBorder="1" applyAlignment="1">
      <alignment horizontal="center" vertical="center" wrapText="1"/>
    </xf>
    <xf numFmtId="0" fontId="14" fillId="0" borderId="0" xfId="0" applyFont="1" applyBorder="1" applyAlignment="1">
      <alignment vertical="center" wrapText="1"/>
    </xf>
    <xf numFmtId="0" fontId="32" fillId="0" borderId="0" xfId="0" applyFont="1" applyAlignment="1">
      <alignment horizontal="left" vertical="center" indent="1"/>
    </xf>
    <xf numFmtId="0" fontId="22" fillId="6" borderId="7" xfId="6" applyFont="1" applyFill="1" applyBorder="1" applyProtection="1">
      <alignment vertical="center"/>
    </xf>
    <xf numFmtId="0" fontId="22" fillId="0" borderId="7" xfId="6" applyFont="1" applyFill="1" applyBorder="1" applyProtection="1">
      <alignment vertical="center"/>
    </xf>
    <xf numFmtId="0" fontId="2" fillId="11" borderId="0" xfId="20" applyFill="1" applyAlignment="1" applyProtection="1">
      <alignment vertical="center"/>
      <protection locked="0"/>
    </xf>
    <xf numFmtId="14" fontId="2" fillId="11" borderId="0" xfId="20" applyNumberFormat="1" applyFill="1" applyAlignment="1" applyProtection="1">
      <alignment vertical="center"/>
      <protection locked="0"/>
    </xf>
    <xf numFmtId="0" fontId="2" fillId="11" borderId="0" xfId="20" applyFill="1" applyProtection="1">
      <protection locked="0"/>
    </xf>
    <xf numFmtId="0" fontId="35" fillId="0" borderId="6" xfId="6" applyFont="1" applyFill="1" applyBorder="1" applyProtection="1">
      <alignment vertical="center"/>
    </xf>
    <xf numFmtId="0" fontId="22" fillId="0" borderId="20" xfId="6" applyFont="1" applyFill="1" applyBorder="1" applyProtection="1">
      <alignment vertical="center"/>
    </xf>
    <xf numFmtId="164" fontId="23" fillId="0" borderId="45" xfId="3" applyNumberFormat="1" applyFont="1" applyFill="1" applyBorder="1" applyAlignment="1" applyProtection="1">
      <alignment horizontal="center" vertical="center" wrapText="1"/>
    </xf>
    <xf numFmtId="0" fontId="22" fillId="6" borderId="20" xfId="6" applyFont="1" applyFill="1" applyBorder="1" applyProtection="1">
      <alignment vertical="center"/>
    </xf>
    <xf numFmtId="44" fontId="23" fillId="0" borderId="45" xfId="3" applyNumberFormat="1" applyFont="1" applyFill="1" applyBorder="1" applyAlignment="1" applyProtection="1">
      <alignment horizontal="center" vertical="center" wrapText="1"/>
    </xf>
    <xf numFmtId="0" fontId="23" fillId="0" borderId="45" xfId="3" applyNumberFormat="1" applyFont="1" applyFill="1" applyBorder="1" applyAlignment="1" applyProtection="1">
      <alignment horizontal="center" vertical="center" wrapText="1"/>
    </xf>
    <xf numFmtId="44" fontId="23" fillId="0" borderId="52" xfId="3" applyNumberFormat="1" applyFont="1" applyFill="1" applyBorder="1" applyAlignment="1" applyProtection="1">
      <alignment horizontal="center" vertical="center"/>
    </xf>
    <xf numFmtId="0" fontId="23" fillId="0" borderId="32" xfId="3" applyFont="1" applyFill="1" applyBorder="1" applyProtection="1">
      <alignment horizontal="left" vertical="center" indent="1"/>
    </xf>
    <xf numFmtId="0" fontId="23" fillId="0" borderId="45" xfId="3" applyFont="1" applyFill="1" applyBorder="1" applyProtection="1">
      <alignment horizontal="left" vertical="center" indent="1"/>
    </xf>
    <xf numFmtId="0" fontId="22" fillId="0" borderId="55" xfId="2" applyFont="1" applyFill="1" applyBorder="1" applyProtection="1">
      <alignment vertical="center"/>
    </xf>
    <xf numFmtId="0" fontId="22" fillId="0" borderId="57" xfId="2" applyFont="1" applyFill="1" applyBorder="1" applyProtection="1">
      <alignment vertical="center"/>
    </xf>
    <xf numFmtId="0" fontId="22" fillId="0" borderId="5" xfId="6" applyFont="1" applyFill="1" applyBorder="1" applyAlignment="1" applyProtection="1">
      <alignment horizontal="left" vertical="center"/>
    </xf>
    <xf numFmtId="0" fontId="22" fillId="6" borderId="5" xfId="6" applyFont="1" applyFill="1" applyBorder="1" applyAlignment="1" applyProtection="1">
      <alignment horizontal="left" vertical="center"/>
    </xf>
    <xf numFmtId="44" fontId="21" fillId="0" borderId="53" xfId="13" applyFont="1" applyFill="1" applyBorder="1" applyAlignment="1" applyProtection="1">
      <alignment horizontal="center" vertical="center" wrapText="1"/>
    </xf>
    <xf numFmtId="0" fontId="21" fillId="10" borderId="6" xfId="6" applyFont="1" applyFill="1" applyBorder="1" applyAlignment="1" applyProtection="1">
      <alignment horizontal="center" vertical="center"/>
      <protection locked="0"/>
    </xf>
    <xf numFmtId="0" fontId="21" fillId="10" borderId="5" xfId="6" applyFont="1" applyFill="1" applyBorder="1" applyAlignment="1" applyProtection="1">
      <alignment horizontal="left" vertical="center"/>
      <protection locked="0"/>
    </xf>
    <xf numFmtId="14" fontId="21" fillId="10" borderId="6" xfId="6" applyNumberFormat="1" applyFont="1" applyFill="1" applyBorder="1" applyAlignment="1" applyProtection="1">
      <alignment horizontal="center" vertical="center"/>
      <protection locked="0"/>
    </xf>
    <xf numFmtId="0" fontId="21" fillId="10" borderId="56" xfId="2" applyFont="1" applyFill="1" applyBorder="1" applyAlignment="1" applyProtection="1">
      <alignment horizontal="left" vertical="center"/>
      <protection locked="0"/>
    </xf>
    <xf numFmtId="0" fontId="21" fillId="0" borderId="5" xfId="0" applyFont="1" applyFill="1" applyBorder="1" applyProtection="1">
      <alignment horizontal="left" vertical="center" wrapText="1" indent="1"/>
      <protection locked="0"/>
    </xf>
    <xf numFmtId="0" fontId="21" fillId="0" borderId="5" xfId="3" applyNumberFormat="1" applyFont="1" applyFill="1" applyBorder="1" applyAlignment="1" applyProtection="1">
      <alignment horizontal="left" vertical="center" wrapText="1" indent="1"/>
      <protection locked="0"/>
    </xf>
    <xf numFmtId="0" fontId="21" fillId="0" borderId="5" xfId="13" applyNumberFormat="1" applyFont="1" applyFill="1" applyBorder="1" applyAlignment="1" applyProtection="1">
      <alignment horizontal="center" vertical="center" wrapText="1"/>
      <protection locked="0"/>
    </xf>
    <xf numFmtId="0" fontId="21" fillId="0" borderId="5" xfId="17" applyNumberFormat="1" applyFont="1" applyFill="1" applyBorder="1" applyProtection="1">
      <alignment horizontal="right" vertical="center"/>
      <protection locked="0"/>
    </xf>
    <xf numFmtId="0" fontId="21" fillId="0" borderId="10" xfId="0" applyFont="1" applyFill="1" applyBorder="1" applyProtection="1">
      <alignment horizontal="left" vertical="center" wrapText="1" indent="1"/>
      <protection locked="0"/>
    </xf>
    <xf numFmtId="0" fontId="21" fillId="0" borderId="14" xfId="0" applyFont="1" applyFill="1" applyBorder="1" applyProtection="1">
      <alignment horizontal="left" vertical="center" wrapText="1" indent="1"/>
      <protection locked="0"/>
    </xf>
    <xf numFmtId="0" fontId="21" fillId="0" borderId="44" xfId="13" applyNumberFormat="1" applyFont="1" applyFill="1" applyBorder="1" applyAlignment="1" applyProtection="1">
      <alignment horizontal="center" vertical="center" wrapText="1"/>
      <protection locked="0"/>
    </xf>
    <xf numFmtId="0" fontId="42" fillId="12" borderId="0" xfId="21" applyFont="1" applyFill="1"/>
    <xf numFmtId="0" fontId="43" fillId="6" borderId="63" xfId="21" applyFont="1" applyFill="1" applyBorder="1" applyAlignment="1" applyProtection="1">
      <alignment horizontal="center" vertical="center" wrapText="1"/>
      <protection locked="0"/>
    </xf>
    <xf numFmtId="0" fontId="43" fillId="6" borderId="64" xfId="21" applyFont="1" applyFill="1" applyBorder="1" applyAlignment="1" applyProtection="1">
      <alignment horizontal="center" vertical="center" wrapText="1"/>
      <protection locked="0"/>
    </xf>
    <xf numFmtId="0" fontId="43" fillId="6" borderId="65" xfId="21" applyFont="1" applyFill="1" applyBorder="1" applyAlignment="1" applyProtection="1">
      <alignment horizontal="center" vertical="center" wrapText="1"/>
      <protection locked="0"/>
    </xf>
    <xf numFmtId="0" fontId="1" fillId="12" borderId="0" xfId="21" applyFill="1"/>
    <xf numFmtId="0" fontId="1" fillId="6" borderId="66" xfId="21" applyFill="1" applyBorder="1" applyAlignment="1" applyProtection="1">
      <alignment horizontal="left" vertical="center"/>
      <protection locked="0"/>
    </xf>
    <xf numFmtId="0" fontId="1" fillId="6" borderId="67" xfId="21" applyFill="1" applyBorder="1" applyAlignment="1" applyProtection="1">
      <alignment vertical="center" wrapText="1"/>
      <protection locked="0"/>
    </xf>
    <xf numFmtId="0" fontId="1" fillId="6" borderId="67" xfId="21" applyFill="1" applyBorder="1" applyAlignment="1" applyProtection="1">
      <alignment horizontal="left" vertical="center"/>
      <protection locked="0"/>
    </xf>
    <xf numFmtId="0" fontId="14" fillId="6" borderId="67" xfId="21" applyFont="1" applyFill="1" applyBorder="1" applyAlignment="1" applyProtection="1">
      <alignment vertical="center"/>
      <protection locked="0"/>
    </xf>
    <xf numFmtId="44" fontId="14" fillId="6" borderId="67" xfId="22" applyFont="1" applyFill="1" applyBorder="1" applyAlignment="1" applyProtection="1">
      <alignment vertical="center"/>
      <protection locked="0"/>
    </xf>
    <xf numFmtId="44" fontId="14" fillId="6" borderId="67" xfId="22" applyFont="1" applyFill="1" applyBorder="1" applyAlignment="1" applyProtection="1">
      <alignment vertical="center"/>
    </xf>
    <xf numFmtId="0" fontId="14" fillId="6" borderId="68" xfId="21" applyFont="1" applyFill="1" applyBorder="1" applyAlignment="1" applyProtection="1">
      <alignment vertical="center"/>
      <protection locked="0"/>
    </xf>
    <xf numFmtId="0" fontId="1" fillId="6" borderId="69" xfId="21" applyFill="1" applyBorder="1" applyAlignment="1" applyProtection="1">
      <alignment horizontal="left" vertical="center"/>
      <protection locked="0"/>
    </xf>
    <xf numFmtId="0" fontId="1" fillId="6" borderId="70" xfId="21" applyFill="1" applyBorder="1" applyAlignment="1" applyProtection="1">
      <alignment vertical="center" wrapText="1"/>
      <protection locked="0"/>
    </xf>
    <xf numFmtId="0" fontId="1" fillId="6" borderId="70" xfId="21" applyFill="1" applyBorder="1" applyAlignment="1" applyProtection="1">
      <alignment horizontal="left" vertical="center"/>
      <protection locked="0"/>
    </xf>
    <xf numFmtId="0" fontId="14" fillId="6" borderId="70" xfId="21" applyFont="1" applyFill="1" applyBorder="1" applyAlignment="1" applyProtection="1">
      <alignment vertical="center"/>
      <protection locked="0"/>
    </xf>
    <xf numFmtId="44" fontId="14" fillId="6" borderId="70" xfId="22" applyFont="1" applyFill="1" applyBorder="1" applyAlignment="1" applyProtection="1">
      <alignment vertical="center"/>
      <protection locked="0"/>
    </xf>
    <xf numFmtId="44" fontId="14" fillId="6" borderId="70" xfId="22" applyFont="1" applyFill="1" applyBorder="1" applyAlignment="1" applyProtection="1">
      <alignment vertical="center"/>
    </xf>
    <xf numFmtId="0" fontId="14" fillId="6" borderId="71" xfId="21" applyFont="1" applyFill="1" applyBorder="1" applyAlignment="1" applyProtection="1">
      <alignment vertical="center"/>
      <protection locked="0"/>
    </xf>
    <xf numFmtId="0" fontId="41" fillId="7" borderId="60" xfId="21" applyFont="1" applyFill="1" applyBorder="1" applyAlignment="1" applyProtection="1">
      <alignment horizontal="left" vertical="center"/>
      <protection locked="0"/>
    </xf>
    <xf numFmtId="0" fontId="41" fillId="7" borderId="61" xfId="21" applyFont="1" applyFill="1" applyBorder="1" applyAlignment="1" applyProtection="1">
      <alignment horizontal="left" vertical="center"/>
      <protection locked="0"/>
    </xf>
    <xf numFmtId="0" fontId="41" fillId="7" borderId="62" xfId="21" applyFont="1" applyFill="1" applyBorder="1" applyAlignment="1" applyProtection="1">
      <alignment horizontal="left" vertical="center"/>
      <protection locked="0"/>
    </xf>
    <xf numFmtId="44" fontId="21" fillId="0" borderId="5" xfId="13" applyFont="1" applyBorder="1" applyAlignment="1" applyProtection="1">
      <alignment horizontal="center" vertical="center" wrapText="1"/>
    </xf>
    <xf numFmtId="0" fontId="21" fillId="8" borderId="18" xfId="0" applyFont="1" applyFill="1" applyBorder="1" applyAlignment="1">
      <alignment horizontal="right" vertical="center" wrapText="1" indent="1"/>
    </xf>
    <xf numFmtId="0" fontId="21" fillId="8" borderId="6" xfId="0" applyFont="1" applyFill="1" applyBorder="1" applyAlignment="1">
      <alignment horizontal="right" vertical="center" wrapText="1" indent="1"/>
    </xf>
    <xf numFmtId="0" fontId="22" fillId="8" borderId="6" xfId="0" applyFont="1" applyFill="1" applyBorder="1" applyAlignment="1">
      <alignment horizontal="right" vertical="center" wrapText="1" indent="1"/>
    </xf>
    <xf numFmtId="0" fontId="21" fillId="0" borderId="11" xfId="0" applyFont="1" applyFill="1" applyBorder="1">
      <alignment horizontal="left" vertical="center" wrapText="1" indent="1"/>
    </xf>
    <xf numFmtId="164" fontId="21" fillId="8" borderId="16" xfId="17" applyFont="1" applyFill="1" applyBorder="1" applyAlignment="1">
      <alignment horizontal="center" vertical="center"/>
    </xf>
    <xf numFmtId="164" fontId="21" fillId="8" borderId="27" xfId="17" applyFont="1" applyFill="1" applyBorder="1">
      <alignment horizontal="right" vertical="center"/>
    </xf>
    <xf numFmtId="164" fontId="21" fillId="8" borderId="15" xfId="17" applyFont="1" applyFill="1" applyBorder="1">
      <alignment horizontal="right" vertical="center"/>
    </xf>
    <xf numFmtId="164" fontId="21" fillId="8" borderId="15" xfId="17" applyFont="1" applyFill="1" applyBorder="1" applyAlignment="1">
      <alignment horizontal="center" vertical="center"/>
    </xf>
    <xf numFmtId="164" fontId="21" fillId="8" borderId="31" xfId="17" applyFont="1" applyFill="1" applyBorder="1">
      <alignment horizontal="right" vertical="center"/>
    </xf>
    <xf numFmtId="164" fontId="21" fillId="8" borderId="37" xfId="17" applyFont="1" applyFill="1" applyBorder="1">
      <alignment horizontal="right" vertical="center"/>
    </xf>
    <xf numFmtId="44" fontId="21" fillId="8" borderId="36" xfId="17" applyNumberFormat="1" applyFont="1" applyFill="1" applyBorder="1">
      <alignment horizontal="right" vertical="center"/>
    </xf>
    <xf numFmtId="0" fontId="19" fillId="0" borderId="0" xfId="0" applyFont="1" applyAlignment="1">
      <alignment horizontal="left" vertical="top" wrapText="1" indent="1"/>
    </xf>
    <xf numFmtId="0" fontId="16" fillId="0" borderId="0" xfId="0" applyFont="1">
      <alignment horizontal="left" vertical="center" wrapText="1" indent="1"/>
    </xf>
    <xf numFmtId="0" fontId="21" fillId="0" borderId="12" xfId="0" applyFont="1" applyFill="1" applyBorder="1">
      <alignment horizontal="left" vertical="center" wrapText="1" indent="1"/>
    </xf>
    <xf numFmtId="0" fontId="21" fillId="0" borderId="32" xfId="0" applyFont="1" applyFill="1" applyBorder="1" applyAlignment="1">
      <alignment horizontal="right" vertical="center" wrapText="1" indent="1"/>
    </xf>
    <xf numFmtId="164" fontId="21" fillId="0" borderId="33" xfId="17" applyFont="1" applyFill="1" applyBorder="1" applyAlignment="1">
      <alignment horizontal="center" vertical="center"/>
    </xf>
    <xf numFmtId="164" fontId="21" fillId="0" borderId="34" xfId="17" applyFont="1" applyFill="1" applyBorder="1">
      <alignment horizontal="right" vertical="center"/>
    </xf>
    <xf numFmtId="164" fontId="21" fillId="0" borderId="35" xfId="17" applyFont="1" applyFill="1" applyBorder="1" applyAlignment="1">
      <alignment horizontal="right" vertical="center" wrapText="1"/>
    </xf>
    <xf numFmtId="44" fontId="21" fillId="0" borderId="29" xfId="17" applyNumberFormat="1" applyFont="1" applyFill="1" applyBorder="1" applyAlignment="1">
      <alignment horizontal="center" vertical="center"/>
    </xf>
    <xf numFmtId="164" fontId="21" fillId="0" borderId="29" xfId="17" applyFont="1" applyFill="1" applyBorder="1">
      <alignment horizontal="right" vertical="center"/>
    </xf>
    <xf numFmtId="164" fontId="21" fillId="0" borderId="37" xfId="17" applyFont="1" applyFill="1" applyBorder="1">
      <alignment horizontal="right" vertical="center"/>
    </xf>
    <xf numFmtId="44" fontId="21" fillId="0" borderId="36" xfId="17" applyNumberFormat="1" applyFont="1" applyFill="1" applyBorder="1">
      <alignment horizontal="right" vertical="center"/>
    </xf>
    <xf numFmtId="164" fontId="21" fillId="8" borderId="17" xfId="17" applyFont="1" applyFill="1" applyBorder="1" applyAlignment="1">
      <alignment horizontal="center" vertical="center"/>
    </xf>
    <xf numFmtId="164" fontId="21" fillId="8" borderId="28" xfId="17" applyFont="1" applyFill="1" applyBorder="1">
      <alignment horizontal="right" vertical="center"/>
    </xf>
    <xf numFmtId="164" fontId="21" fillId="8" borderId="10" xfId="17" applyFont="1" applyFill="1" applyBorder="1">
      <alignment horizontal="right" vertical="center"/>
    </xf>
    <xf numFmtId="164" fontId="21" fillId="8" borderId="29" xfId="17" applyFont="1" applyFill="1" applyBorder="1" applyAlignment="1">
      <alignment horizontal="center" vertical="center"/>
    </xf>
    <xf numFmtId="164" fontId="21" fillId="8" borderId="29" xfId="17" applyFont="1" applyFill="1" applyBorder="1">
      <alignment horizontal="right" vertical="center"/>
    </xf>
    <xf numFmtId="0" fontId="21" fillId="0" borderId="6" xfId="0" applyFont="1" applyFill="1" applyBorder="1" applyAlignment="1">
      <alignment horizontal="right" vertical="center" wrapText="1" indent="1"/>
    </xf>
    <xf numFmtId="164" fontId="21" fillId="0" borderId="17" xfId="17" applyFont="1" applyFill="1" applyBorder="1" applyAlignment="1">
      <alignment horizontal="center" vertical="center"/>
    </xf>
    <xf numFmtId="164" fontId="21" fillId="0" borderId="28" xfId="17" applyFont="1" applyFill="1" applyBorder="1">
      <alignment horizontal="right" vertical="center"/>
    </xf>
    <xf numFmtId="164" fontId="21" fillId="0" borderId="10" xfId="17" applyFont="1" applyFill="1" applyBorder="1">
      <alignment horizontal="right" vertical="center"/>
    </xf>
    <xf numFmtId="164" fontId="21" fillId="0" borderId="29" xfId="17" applyFont="1" applyFill="1" applyBorder="1" applyAlignment="1">
      <alignment horizontal="center" vertical="center"/>
    </xf>
    <xf numFmtId="0" fontId="22" fillId="0" borderId="6" xfId="0" applyFont="1" applyFill="1" applyBorder="1" applyAlignment="1">
      <alignment horizontal="right" vertical="center" wrapText="1" indent="1"/>
    </xf>
    <xf numFmtId="0" fontId="21" fillId="0" borderId="12" xfId="0" applyFont="1" applyBorder="1" applyAlignment="1">
      <alignment horizontal="right" vertical="center" wrapText="1"/>
    </xf>
    <xf numFmtId="0" fontId="21" fillId="0" borderId="8" xfId="0" applyFont="1" applyFill="1" applyBorder="1" applyAlignment="1">
      <alignment horizontal="right" vertical="center" wrapText="1"/>
    </xf>
    <xf numFmtId="164" fontId="21" fillId="0" borderId="22" xfId="17" applyFont="1" applyFill="1" applyBorder="1" applyAlignment="1">
      <alignment horizontal="center" vertical="center"/>
    </xf>
    <xf numFmtId="164" fontId="21" fillId="0" borderId="22" xfId="17" applyFont="1" applyFill="1" applyBorder="1">
      <alignment horizontal="right" vertical="center"/>
    </xf>
    <xf numFmtId="44" fontId="21" fillId="0" borderId="23" xfId="17" applyNumberFormat="1" applyFont="1" applyFill="1" applyBorder="1">
      <alignment horizontal="right" vertical="center"/>
    </xf>
    <xf numFmtId="0" fontId="21" fillId="0" borderId="13" xfId="0" applyFont="1" applyBorder="1" applyAlignment="1">
      <alignment horizontal="center" vertical="center" wrapText="1"/>
    </xf>
    <xf numFmtId="0" fontId="22" fillId="0" borderId="8" xfId="0" applyFont="1" applyBorder="1" applyAlignment="1">
      <alignment horizontal="right" vertical="center" wrapText="1"/>
    </xf>
    <xf numFmtId="0" fontId="22" fillId="0" borderId="22" xfId="0" applyFont="1" applyBorder="1" applyAlignment="1">
      <alignment vertical="center" wrapText="1"/>
    </xf>
    <xf numFmtId="0" fontId="22" fillId="0" borderId="22" xfId="0" applyFont="1" applyBorder="1" applyAlignment="1">
      <alignment horizontal="center" vertical="center" wrapText="1"/>
    </xf>
    <xf numFmtId="44" fontId="22" fillId="0" borderId="23" xfId="0" applyNumberFormat="1" applyFont="1" applyBorder="1" applyAlignment="1">
      <alignment horizontal="center" vertical="center" wrapText="1"/>
    </xf>
    <xf numFmtId="0" fontId="20" fillId="0" borderId="0" xfId="0" applyFont="1" applyAlignment="1">
      <alignment vertical="center"/>
    </xf>
    <xf numFmtId="0" fontId="28" fillId="0" borderId="0" xfId="0" applyFont="1" applyAlignment="1">
      <alignment horizontal="left" vertical="center" indent="1"/>
    </xf>
    <xf numFmtId="0" fontId="16" fillId="0" borderId="0" xfId="0" applyFont="1" applyAlignment="1">
      <alignment horizontal="center" vertical="center" wrapText="1"/>
    </xf>
    <xf numFmtId="44" fontId="21" fillId="0" borderId="41" xfId="3" applyNumberFormat="1" applyFont="1" applyFill="1" applyBorder="1" applyAlignment="1" applyProtection="1">
      <alignment horizontal="left" vertical="center" wrapText="1" indent="1"/>
    </xf>
    <xf numFmtId="0" fontId="19" fillId="0" borderId="0" xfId="0" applyFont="1" applyFill="1" applyAlignment="1">
      <alignment horizontal="left" vertical="top" wrapText="1" indent="1"/>
    </xf>
    <xf numFmtId="0" fontId="16" fillId="0" borderId="0" xfId="0" applyFont="1" applyFill="1">
      <alignment horizontal="left" vertical="center" wrapText="1" indent="1"/>
    </xf>
    <xf numFmtId="0" fontId="21" fillId="0" borderId="6" xfId="0" applyFont="1" applyFill="1" applyBorder="1">
      <alignment horizontal="left" vertical="center" wrapText="1" indent="1"/>
    </xf>
    <xf numFmtId="0" fontId="21" fillId="0" borderId="5" xfId="0" applyFont="1" applyFill="1" applyBorder="1">
      <alignment horizontal="left" vertical="center" wrapText="1" indent="1"/>
    </xf>
    <xf numFmtId="164" fontId="21" fillId="0" borderId="30" xfId="17" applyFont="1" applyFill="1" applyBorder="1" applyAlignment="1">
      <alignment horizontal="center" vertical="center"/>
    </xf>
    <xf numFmtId="0" fontId="21" fillId="0" borderId="35" xfId="13" applyNumberFormat="1" applyFont="1" applyFill="1" applyBorder="1" applyAlignment="1" applyProtection="1">
      <alignment horizontal="center" vertical="center" wrapText="1"/>
    </xf>
    <xf numFmtId="0" fontId="21" fillId="0" borderId="9" xfId="0" applyFont="1" applyBorder="1">
      <alignment horizontal="left" vertical="center" wrapText="1" indent="1"/>
    </xf>
    <xf numFmtId="0" fontId="19" fillId="0" borderId="3" xfId="0" applyFont="1" applyBorder="1" applyAlignment="1">
      <alignment horizontal="left" vertical="top" wrapText="1" indent="1"/>
    </xf>
    <xf numFmtId="0" fontId="21" fillId="0" borderId="9" xfId="0" applyFont="1" applyFill="1" applyBorder="1">
      <alignment horizontal="left" vertical="center" wrapText="1" indent="1"/>
    </xf>
    <xf numFmtId="0" fontId="21" fillId="0" borderId="10" xfId="0" applyFont="1" applyFill="1" applyBorder="1">
      <alignment horizontal="left" vertical="center" wrapText="1" indent="1"/>
    </xf>
    <xf numFmtId="164" fontId="21" fillId="0" borderId="10" xfId="17" applyFont="1" applyFill="1" applyBorder="1" applyAlignment="1">
      <alignment horizontal="center" vertical="center"/>
    </xf>
    <xf numFmtId="0" fontId="17" fillId="7" borderId="3" xfId="6" applyFont="1" applyFill="1" applyBorder="1" applyAlignment="1" applyProtection="1">
      <alignment horizontal="left" vertical="center"/>
    </xf>
    <xf numFmtId="0" fontId="18" fillId="7" borderId="0" xfId="6" applyFont="1" applyFill="1" applyBorder="1" applyAlignment="1" applyProtection="1">
      <alignment horizontal="left" vertical="center" indent="2"/>
    </xf>
    <xf numFmtId="0" fontId="18" fillId="7" borderId="0" xfId="6" applyFont="1" applyFill="1" applyBorder="1" applyAlignment="1" applyProtection="1">
      <alignment horizontal="center" vertical="center"/>
    </xf>
    <xf numFmtId="44" fontId="18" fillId="7" borderId="0" xfId="6" applyNumberFormat="1" applyFont="1" applyFill="1" applyBorder="1" applyAlignment="1" applyProtection="1">
      <alignment horizontal="center" vertical="center"/>
    </xf>
    <xf numFmtId="0" fontId="18" fillId="7" borderId="5" xfId="6" applyFont="1" applyFill="1" applyBorder="1" applyAlignment="1" applyProtection="1">
      <alignment horizontal="left" vertical="center" indent="2"/>
    </xf>
    <xf numFmtId="44" fontId="18" fillId="7" borderId="0" xfId="6" applyNumberFormat="1" applyFont="1" applyFill="1" applyBorder="1" applyAlignment="1" applyProtection="1">
      <alignment horizontal="left" vertical="center" indent="2"/>
    </xf>
    <xf numFmtId="0" fontId="21" fillId="0" borderId="10" xfId="0" applyFont="1" applyBorder="1">
      <alignment horizontal="left" vertical="center" wrapText="1" indent="1"/>
    </xf>
    <xf numFmtId="164" fontId="21" fillId="0" borderId="7" xfId="17" applyFont="1" applyFill="1" applyBorder="1" applyAlignment="1">
      <alignment horizontal="center" vertical="center"/>
    </xf>
    <xf numFmtId="0" fontId="21" fillId="0" borderId="6" xfId="0" applyFont="1" applyBorder="1">
      <alignment horizontal="left" vertical="center" wrapText="1" indent="1"/>
    </xf>
    <xf numFmtId="164" fontId="21" fillId="0" borderId="5" xfId="17" applyFont="1" applyFill="1" applyBorder="1" applyAlignment="1">
      <alignment horizontal="center" vertical="center"/>
    </xf>
    <xf numFmtId="44" fontId="18" fillId="7" borderId="4" xfId="6" applyNumberFormat="1" applyFont="1" applyFill="1" applyBorder="1" applyAlignment="1" applyProtection="1">
      <alignment horizontal="left" vertical="center" indent="2"/>
    </xf>
    <xf numFmtId="0" fontId="17" fillId="7" borderId="59" xfId="6" applyFont="1" applyFill="1" applyBorder="1" applyAlignment="1" applyProtection="1">
      <alignment horizontal="left" vertical="center"/>
    </xf>
    <xf numFmtId="0" fontId="18" fillId="7" borderId="43" xfId="6" applyFont="1" applyFill="1" applyBorder="1" applyAlignment="1" applyProtection="1">
      <alignment horizontal="left" vertical="center" indent="2"/>
    </xf>
    <xf numFmtId="0" fontId="18" fillId="7" borderId="43" xfId="6" applyFont="1" applyFill="1" applyBorder="1" applyAlignment="1" applyProtection="1">
      <alignment horizontal="center" vertical="center"/>
    </xf>
    <xf numFmtId="44" fontId="18" fillId="7" borderId="43" xfId="6" applyNumberFormat="1" applyFont="1" applyFill="1" applyBorder="1" applyAlignment="1" applyProtection="1">
      <alignment horizontal="center" vertical="center"/>
    </xf>
    <xf numFmtId="164" fontId="21" fillId="0" borderId="44" xfId="17" applyFont="1" applyFill="1" applyBorder="1" applyAlignment="1">
      <alignment horizontal="center" vertical="center"/>
    </xf>
    <xf numFmtId="0" fontId="21" fillId="0" borderId="46" xfId="0" applyFont="1" applyFill="1" applyBorder="1">
      <alignment horizontal="left" vertical="center" wrapText="1" indent="1"/>
    </xf>
    <xf numFmtId="0" fontId="18" fillId="7" borderId="45" xfId="6" applyFont="1" applyFill="1" applyBorder="1" applyAlignment="1" applyProtection="1">
      <alignment horizontal="left" vertical="center" indent="2"/>
    </xf>
    <xf numFmtId="44" fontId="18" fillId="7" borderId="48" xfId="6" applyNumberFormat="1" applyFont="1" applyFill="1" applyBorder="1" applyAlignment="1" applyProtection="1">
      <alignment horizontal="left" vertical="center" indent="2"/>
    </xf>
    <xf numFmtId="44" fontId="18" fillId="7" borderId="21" xfId="6" applyNumberFormat="1" applyFont="1" applyFill="1" applyBorder="1" applyAlignment="1" applyProtection="1">
      <alignment horizontal="left" vertical="center" indent="2"/>
    </xf>
    <xf numFmtId="164" fontId="21" fillId="0" borderId="5" xfId="3" applyNumberFormat="1" applyFont="1" applyFill="1" applyBorder="1" applyAlignment="1" applyProtection="1">
      <alignment horizontal="center" vertical="center" wrapText="1"/>
    </xf>
    <xf numFmtId="164" fontId="21" fillId="0" borderId="41" xfId="3" applyNumberFormat="1" applyFont="1" applyFill="1" applyBorder="1" applyAlignment="1" applyProtection="1">
      <alignment horizontal="left" vertical="center" wrapText="1" indent="1"/>
    </xf>
    <xf numFmtId="0" fontId="23" fillId="7" borderId="0" xfId="3" applyFont="1" applyFill="1" applyBorder="1" applyProtection="1">
      <alignment horizontal="left" vertical="center" indent="1"/>
    </xf>
    <xf numFmtId="164" fontId="23" fillId="7" borderId="0" xfId="3" applyNumberFormat="1" applyFont="1" applyFill="1" applyBorder="1" applyAlignment="1" applyProtection="1">
      <alignment horizontal="center" vertical="center" wrapText="1"/>
    </xf>
    <xf numFmtId="164" fontId="23" fillId="7" borderId="0" xfId="3" applyNumberFormat="1" applyFont="1" applyFill="1" applyBorder="1" applyAlignment="1" applyProtection="1">
      <alignment horizontal="left" vertical="center" wrapText="1" indent="1"/>
    </xf>
    <xf numFmtId="44" fontId="23" fillId="7" borderId="0" xfId="3" applyNumberFormat="1" applyFont="1" applyFill="1" applyBorder="1" applyAlignment="1" applyProtection="1">
      <alignment horizontal="left" vertical="center" wrapText="1" indent="1"/>
    </xf>
    <xf numFmtId="44" fontId="23" fillId="7" borderId="0" xfId="3" applyNumberFormat="1" applyFont="1" applyFill="1" applyBorder="1" applyAlignment="1" applyProtection="1">
      <alignment horizontal="center" vertical="center" wrapText="1"/>
    </xf>
    <xf numFmtId="44" fontId="23" fillId="7" borderId="5" xfId="3" applyNumberFormat="1" applyFont="1" applyFill="1" applyBorder="1" applyAlignment="1" applyProtection="1">
      <alignment horizontal="left" vertical="center" wrapText="1" indent="1"/>
    </xf>
    <xf numFmtId="0" fontId="23" fillId="7" borderId="5" xfId="3" applyNumberFormat="1" applyFont="1" applyFill="1" applyBorder="1" applyAlignment="1" applyProtection="1">
      <alignment horizontal="left" vertical="center" wrapText="1" indent="1"/>
    </xf>
    <xf numFmtId="44" fontId="23" fillId="7" borderId="39" xfId="3" applyNumberFormat="1" applyFont="1" applyFill="1" applyBorder="1" applyProtection="1">
      <alignment horizontal="left" vertical="center" indent="1"/>
    </xf>
    <xf numFmtId="0" fontId="20" fillId="0" borderId="0" xfId="0" applyFont="1">
      <alignment horizontal="left" vertical="center" wrapText="1" indent="1"/>
    </xf>
    <xf numFmtId="0" fontId="16" fillId="0" borderId="54" xfId="0" applyFont="1" applyFill="1" applyBorder="1">
      <alignment horizontal="left" vertical="center" wrapText="1" indent="1"/>
    </xf>
    <xf numFmtId="0" fontId="16" fillId="0" borderId="0" xfId="0" applyFont="1" applyBorder="1">
      <alignment horizontal="left" vertical="center" wrapText="1" indent="1"/>
    </xf>
    <xf numFmtId="0" fontId="16" fillId="6" borderId="0" xfId="0" applyFont="1" applyFill="1" applyBorder="1">
      <alignment horizontal="left" vertical="center" wrapText="1" indent="1"/>
    </xf>
    <xf numFmtId="0" fontId="34" fillId="0" borderId="0" xfId="0" applyFont="1">
      <alignment horizontal="left" vertical="center" wrapText="1" indent="1"/>
    </xf>
    <xf numFmtId="17" fontId="34" fillId="0" borderId="0" xfId="0" applyNumberFormat="1" applyFont="1" applyAlignment="1">
      <alignment vertical="center" wrapText="1"/>
    </xf>
    <xf numFmtId="166" fontId="21" fillId="0" borderId="7" xfId="17" applyNumberFormat="1" applyFont="1" applyFill="1" applyBorder="1" applyProtection="1">
      <alignment horizontal="right" vertical="center"/>
      <protection locked="0"/>
    </xf>
    <xf numFmtId="167" fontId="22" fillId="0" borderId="10" xfId="17" applyNumberFormat="1" applyFont="1" applyFill="1" applyBorder="1" applyProtection="1">
      <alignment horizontal="right" vertical="center"/>
      <protection locked="0"/>
    </xf>
    <xf numFmtId="0" fontId="16" fillId="0" borderId="0" xfId="0" applyFont="1" applyProtection="1">
      <alignment horizontal="left" vertical="center" wrapText="1" indent="1"/>
      <protection locked="0"/>
    </xf>
    <xf numFmtId="0" fontId="20" fillId="9" borderId="19" xfId="15" applyFont="1" applyFill="1" applyBorder="1" applyAlignment="1" applyProtection="1">
      <alignment vertical="top" wrapText="1"/>
    </xf>
    <xf numFmtId="0" fontId="20" fillId="9" borderId="20" xfId="15" applyFont="1" applyFill="1" applyBorder="1" applyAlignment="1" applyProtection="1">
      <alignment vertical="top" wrapText="1"/>
    </xf>
    <xf numFmtId="0" fontId="20" fillId="9" borderId="21" xfId="15" applyFont="1" applyFill="1" applyBorder="1" applyAlignment="1" applyProtection="1">
      <alignment vertical="top" wrapText="1"/>
    </xf>
    <xf numFmtId="0" fontId="20" fillId="9" borderId="24" xfId="15" applyFont="1" applyFill="1" applyBorder="1" applyAlignment="1" applyProtection="1">
      <alignment vertical="top" wrapText="1"/>
    </xf>
    <xf numFmtId="0" fontId="20" fillId="9" borderId="25" xfId="15" applyFont="1" applyFill="1" applyBorder="1" applyAlignment="1" applyProtection="1">
      <alignment vertical="top" wrapText="1"/>
    </xf>
    <xf numFmtId="0" fontId="20" fillId="9" borderId="26" xfId="15" applyFont="1" applyFill="1" applyBorder="1" applyAlignment="1" applyProtection="1">
      <alignment vertical="top" wrapText="1"/>
    </xf>
    <xf numFmtId="0" fontId="18" fillId="7" borderId="24" xfId="6" applyFont="1" applyFill="1" applyBorder="1" applyAlignment="1" applyProtection="1">
      <alignment horizontal="center" vertical="center"/>
    </xf>
    <xf numFmtId="0" fontId="18" fillId="7" borderId="25" xfId="6" applyFont="1" applyFill="1" applyBorder="1" applyAlignment="1" applyProtection="1">
      <alignment horizontal="center" vertical="center"/>
    </xf>
    <xf numFmtId="0" fontId="18" fillId="7" borderId="26" xfId="6" applyFont="1" applyFill="1" applyBorder="1" applyAlignment="1" applyProtection="1">
      <alignment horizontal="center" vertical="center"/>
    </xf>
    <xf numFmtId="0" fontId="24" fillId="0" borderId="7" xfId="6" applyFont="1" applyFill="1" applyBorder="1" applyAlignment="1" applyProtection="1">
      <alignment horizontal="center" vertical="center"/>
    </xf>
    <xf numFmtId="0" fontId="24" fillId="0" borderId="20" xfId="6" applyFont="1" applyFill="1" applyBorder="1" applyAlignment="1" applyProtection="1">
      <alignment horizontal="center" vertical="center"/>
    </xf>
    <xf numFmtId="0" fontId="24" fillId="0" borderId="21" xfId="6" applyFont="1" applyFill="1" applyBorder="1" applyAlignment="1" applyProtection="1">
      <alignment horizontal="center" vertical="center"/>
    </xf>
    <xf numFmtId="0" fontId="24" fillId="0" borderId="40" xfId="6" applyFont="1" applyFill="1" applyBorder="1" applyAlignment="1" applyProtection="1">
      <alignment horizontal="center" vertical="center"/>
    </xf>
    <xf numFmtId="0" fontId="21" fillId="10" borderId="7" xfId="6" applyFont="1" applyFill="1" applyBorder="1" applyAlignment="1" applyProtection="1">
      <alignment horizontal="left" vertical="center"/>
      <protection locked="0"/>
    </xf>
    <xf numFmtId="0" fontId="21" fillId="10" borderId="40" xfId="6" applyFont="1" applyFill="1" applyBorder="1" applyAlignment="1" applyProtection="1">
      <alignment horizontal="left" vertical="center"/>
      <protection locked="0"/>
    </xf>
    <xf numFmtId="0" fontId="21" fillId="10" borderId="21" xfId="6" applyFont="1" applyFill="1" applyBorder="1" applyAlignment="1" applyProtection="1">
      <alignment horizontal="left" vertical="center"/>
      <protection locked="0"/>
    </xf>
    <xf numFmtId="0" fontId="21" fillId="10" borderId="56" xfId="2" applyFont="1" applyFill="1" applyBorder="1" applyAlignment="1" applyProtection="1">
      <alignment horizontal="left" vertical="center"/>
      <protection locked="0"/>
    </xf>
    <xf numFmtId="0" fontId="21" fillId="10" borderId="58" xfId="2" applyFont="1" applyFill="1" applyBorder="1" applyAlignment="1" applyProtection="1">
      <alignment horizontal="left" vertical="center"/>
      <protection locked="0"/>
    </xf>
    <xf numFmtId="0" fontId="20" fillId="9" borderId="38" xfId="15" applyFont="1" applyFill="1" applyBorder="1" applyAlignment="1" applyProtection="1">
      <alignment vertical="top" wrapText="1"/>
    </xf>
    <xf numFmtId="0" fontId="20" fillId="9" borderId="39" xfId="15" applyFont="1" applyFill="1" applyBorder="1" applyAlignment="1" applyProtection="1">
      <alignment vertical="top" wrapText="1"/>
    </xf>
    <xf numFmtId="0" fontId="21" fillId="0" borderId="5" xfId="0" applyFont="1" applyBorder="1" applyAlignment="1">
      <alignment horizontal="center" vertical="center" wrapText="1"/>
    </xf>
    <xf numFmtId="0" fontId="41" fillId="7" borderId="60" xfId="21" applyFont="1" applyFill="1" applyBorder="1" applyAlignment="1" applyProtection="1">
      <alignment horizontal="left" vertical="center"/>
      <protection locked="0"/>
    </xf>
    <xf numFmtId="0" fontId="41" fillId="7" borderId="61" xfId="21" applyFont="1" applyFill="1" applyBorder="1" applyAlignment="1" applyProtection="1">
      <alignment horizontal="left" vertical="center"/>
      <protection locked="0"/>
    </xf>
    <xf numFmtId="0" fontId="41" fillId="7" borderId="62" xfId="21" applyFont="1" applyFill="1" applyBorder="1" applyAlignment="1" applyProtection="1">
      <alignment horizontal="left" vertical="center"/>
      <protection locked="0"/>
    </xf>
    <xf numFmtId="0" fontId="38" fillId="11" borderId="0" xfId="1" applyFont="1" applyFill="1" applyAlignment="1">
      <alignment horizontal="left" vertical="center" wrapText="1" indent="1"/>
    </xf>
  </cellXfs>
  <cellStyles count="23">
    <cellStyle name="20% - Accent1" xfId="15" builtinId="30" customBuiltin="1"/>
    <cellStyle name="60% - Accent1" xfId="7" builtinId="32" customBuiltin="1"/>
    <cellStyle name="Currency" xfId="13" builtinId="4" customBuiltin="1"/>
    <cellStyle name="Currency [0]" xfId="14" builtinId="7" customBuiltin="1"/>
    <cellStyle name="Currency 2" xfId="22" xr:uid="{66DA2ACD-AE0B-4059-B60E-149DD647CFA4}"/>
    <cellStyle name="Date" xfId="18" xr:uid="{00000000-0005-0000-0000-000004000000}"/>
    <cellStyle name="Explanatory Text" xfId="10" builtinId="53" customBuiltin="1"/>
    <cellStyle name="Followed Hyperlink" xfId="5" builtinId="9"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Hyperlink 2" xfId="19" xr:uid="{539528B3-EAAF-4CEB-8016-F5162EB6C53C}"/>
    <cellStyle name="Normal" xfId="0" builtinId="0" customBuiltin="1"/>
    <cellStyle name="Normal 2" xfId="20" xr:uid="{71052AA2-D503-42B5-881B-82087C05F44D}"/>
    <cellStyle name="Normal 3" xfId="21" xr:uid="{D0250DB8-4982-4D80-9C39-9695B9BB4369}"/>
    <cellStyle name="Percent" xfId="4" builtinId="5" customBuiltin="1"/>
    <cellStyle name="Phone" xfId="16" xr:uid="{00000000-0005-0000-0000-00000E000000}"/>
    <cellStyle name="Quantity" xfId="17" xr:uid="{00000000-0005-0000-0000-00000F000000}"/>
    <cellStyle name="Title" xfId="6" builtinId="15" customBuiltin="1"/>
    <cellStyle name="Total" xfId="11" builtinId="25" customBuiltin="1"/>
    <cellStyle name="Warning Text" xfId="9" builtinId="11" customBuiltin="1"/>
  </cellStyles>
  <dxfs count="96">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1"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1"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left"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general" vertical="center" textRotation="0" wrapText="1"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left" vertical="center" textRotation="0" wrapText="0" indent="0" justifyLastLine="0" shrinkToFit="0" readingOrder="0"/>
      <border diagonalUp="0" diagonalDown="0">
        <left/>
        <right style="thin">
          <color rgb="FF0070C0"/>
        </right>
        <top style="thin">
          <color rgb="FF0070C0"/>
        </top>
        <bottom style="thin">
          <color rgb="FF0070C0"/>
        </bottom>
        <vertical/>
        <horizontal/>
      </border>
      <protection locked="0" hidden="0"/>
    </dxf>
    <dxf>
      <border outline="0">
        <top style="thin">
          <color rgb="FF0070C0"/>
        </top>
      </border>
    </dxf>
    <dxf>
      <border outline="0">
        <left style="medium">
          <color rgb="FF0070C0"/>
        </left>
        <right style="medium">
          <color rgb="FF0070C0"/>
        </right>
        <top style="medium">
          <color rgb="FF0070C0"/>
        </top>
        <bottom style="thin">
          <color rgb="FF0070C0"/>
        </bottom>
      </border>
    </dxf>
    <dxf>
      <border outline="0">
        <bottom style="medium">
          <color rgb="FF0070C0"/>
        </bottom>
      </border>
    </dxf>
    <dxf>
      <font>
        <b/>
        <i val="0"/>
        <strike val="0"/>
        <condense val="0"/>
        <extend val="0"/>
        <outline val="0"/>
        <shadow val="0"/>
        <u val="none"/>
        <vertAlign val="baseline"/>
        <sz val="13"/>
        <color rgb="FF002060"/>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0070C0"/>
        </left>
        <right style="medium">
          <color rgb="FF0070C0"/>
        </right>
        <top/>
        <bottom/>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1"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1"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left"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general" vertical="center" textRotation="0" wrapText="1"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left" vertical="center" textRotation="0" wrapText="0" indent="0" justifyLastLine="0" shrinkToFit="0" readingOrder="0"/>
      <border diagonalUp="0" diagonalDown="0">
        <left/>
        <right style="thin">
          <color rgb="FF0070C0"/>
        </right>
        <top style="thin">
          <color rgb="FF0070C0"/>
        </top>
        <bottom style="thin">
          <color rgb="FF0070C0"/>
        </bottom>
        <vertical/>
        <horizontal/>
      </border>
      <protection locked="0" hidden="0"/>
    </dxf>
    <dxf>
      <border outline="0">
        <top style="thin">
          <color rgb="FF0070C0"/>
        </top>
      </border>
    </dxf>
    <dxf>
      <border outline="0">
        <left style="medium">
          <color rgb="FF0070C0"/>
        </left>
        <right style="medium">
          <color rgb="FF0070C0"/>
        </right>
        <top style="medium">
          <color rgb="FF0070C0"/>
        </top>
        <bottom style="thin">
          <color rgb="FF0070C0"/>
        </bottom>
      </border>
    </dxf>
    <dxf>
      <border outline="0">
        <bottom style="medium">
          <color rgb="FF0070C0"/>
        </bottom>
      </border>
    </dxf>
    <dxf>
      <font>
        <b/>
        <i val="0"/>
        <strike val="0"/>
        <condense val="0"/>
        <extend val="0"/>
        <outline val="0"/>
        <shadow val="0"/>
        <u val="none"/>
        <vertAlign val="baseline"/>
        <sz val="13"/>
        <color rgb="FF002060"/>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0070C0"/>
        </left>
        <right style="medium">
          <color rgb="FF0070C0"/>
        </right>
        <top/>
        <bottom/>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1"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1"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left"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general" vertical="center" textRotation="0" wrapText="1"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left" vertical="center" textRotation="0" wrapText="0" indent="0" justifyLastLine="0" shrinkToFit="0" readingOrder="0"/>
      <border diagonalUp="0" diagonalDown="0">
        <left/>
        <right style="thin">
          <color rgb="FF0070C0"/>
        </right>
        <top style="thin">
          <color rgb="FF0070C0"/>
        </top>
        <bottom style="thin">
          <color rgb="FF0070C0"/>
        </bottom>
        <vertical/>
        <horizontal/>
      </border>
      <protection locked="0" hidden="0"/>
    </dxf>
    <dxf>
      <border outline="0">
        <top style="thin">
          <color rgb="FF0070C0"/>
        </top>
      </border>
    </dxf>
    <dxf>
      <border outline="0">
        <left style="medium">
          <color rgb="FF0070C0"/>
        </left>
        <right style="medium">
          <color rgb="FF0070C0"/>
        </right>
        <top style="medium">
          <color rgb="FF0070C0"/>
        </top>
        <bottom style="thin">
          <color rgb="FF0070C0"/>
        </bottom>
      </border>
    </dxf>
    <dxf>
      <border outline="0">
        <bottom style="medium">
          <color rgb="FF0070C0"/>
        </bottom>
      </border>
    </dxf>
    <dxf>
      <font>
        <b/>
        <i val="0"/>
        <strike val="0"/>
        <condense val="0"/>
        <extend val="0"/>
        <outline val="0"/>
        <shadow val="0"/>
        <u val="none"/>
        <vertAlign val="baseline"/>
        <sz val="13"/>
        <color rgb="FF002060"/>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0070C0"/>
        </left>
        <right style="medium">
          <color rgb="FF0070C0"/>
        </right>
        <top/>
        <bottom/>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1"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1"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left"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general" vertical="center" textRotation="0" wrapText="1"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left" vertical="center" textRotation="0" wrapText="0" indent="0" justifyLastLine="0" shrinkToFit="0" readingOrder="0"/>
      <border diagonalUp="0" diagonalDown="0">
        <left/>
        <right style="thin">
          <color rgb="FF0070C0"/>
        </right>
        <top style="thin">
          <color rgb="FF0070C0"/>
        </top>
        <bottom style="thin">
          <color rgb="FF0070C0"/>
        </bottom>
        <vertical/>
        <horizontal/>
      </border>
      <protection locked="0" hidden="0"/>
    </dxf>
    <dxf>
      <border outline="0">
        <top style="thin">
          <color rgb="FF0070C0"/>
        </top>
      </border>
    </dxf>
    <dxf>
      <border outline="0">
        <left style="medium">
          <color rgb="FF0070C0"/>
        </left>
        <right style="medium">
          <color rgb="FF0070C0"/>
        </right>
        <top style="medium">
          <color rgb="FF0070C0"/>
        </top>
        <bottom style="thin">
          <color rgb="FF0070C0"/>
        </bottom>
      </border>
    </dxf>
    <dxf>
      <border outline="0">
        <bottom style="medium">
          <color rgb="FF0070C0"/>
        </bottom>
      </border>
    </dxf>
    <dxf>
      <font>
        <b/>
        <i val="0"/>
        <strike val="0"/>
        <condense val="0"/>
        <extend val="0"/>
        <outline val="0"/>
        <shadow val="0"/>
        <u val="none"/>
        <vertAlign val="baseline"/>
        <sz val="13"/>
        <color rgb="FF002060"/>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0070C0"/>
        </left>
        <right style="medium">
          <color rgb="FF0070C0"/>
        </right>
        <top/>
        <bottom/>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1"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1"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left"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general" vertical="center" textRotation="0" wrapText="1"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left" vertical="center" textRotation="0" wrapText="0" indent="0" justifyLastLine="0" shrinkToFit="0" readingOrder="0"/>
      <border diagonalUp="0" diagonalDown="0">
        <left/>
        <right style="thin">
          <color rgb="FF0070C0"/>
        </right>
        <top style="thin">
          <color rgb="FF0070C0"/>
        </top>
        <bottom style="thin">
          <color rgb="FF0070C0"/>
        </bottom>
        <vertical/>
        <horizontal/>
      </border>
      <protection locked="0" hidden="0"/>
    </dxf>
    <dxf>
      <border outline="0">
        <top style="thin">
          <color rgb="FF0070C0"/>
        </top>
      </border>
    </dxf>
    <dxf>
      <border outline="0">
        <left style="medium">
          <color rgb="FF0070C0"/>
        </left>
        <right style="medium">
          <color rgb="FF0070C0"/>
        </right>
        <top style="medium">
          <color rgb="FF0070C0"/>
        </top>
        <bottom style="thin">
          <color rgb="FF0070C0"/>
        </bottom>
      </border>
    </dxf>
    <dxf>
      <border outline="0">
        <bottom style="medium">
          <color rgb="FF0070C0"/>
        </bottom>
      </border>
    </dxf>
    <dxf>
      <font>
        <b/>
        <i val="0"/>
        <strike val="0"/>
        <condense val="0"/>
        <extend val="0"/>
        <outline val="0"/>
        <shadow val="0"/>
        <u val="none"/>
        <vertAlign val="baseline"/>
        <sz val="13"/>
        <color rgb="FF002060"/>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0070C0"/>
        </left>
        <right style="medium">
          <color rgb="FF0070C0"/>
        </right>
        <top/>
        <bottom/>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1"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1"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ont>
        <b val="0"/>
        <i val="0"/>
        <strike val="0"/>
        <condense val="0"/>
        <extend val="0"/>
        <outline val="0"/>
        <shadow val="0"/>
        <u val="none"/>
        <vertAlign val="baseline"/>
        <sz val="11"/>
        <color auto="1"/>
        <name val="Arial"/>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left"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general" vertical="center" textRotation="0" wrapText="1" indent="0" justifyLastLine="0" shrinkToFit="0" readingOrder="0"/>
      <border diagonalUp="0" diagonalDown="0">
        <left style="thin">
          <color rgb="FF0070C0"/>
        </left>
        <right style="thin">
          <color rgb="FF0070C0"/>
        </right>
        <top style="thin">
          <color rgb="FF0070C0"/>
        </top>
        <bottom style="thin">
          <color rgb="FF0070C0"/>
        </bottom>
        <vertical/>
        <horizontal/>
      </border>
      <protection locked="0" hidden="0"/>
    </dxf>
    <dxf>
      <fill>
        <patternFill patternType="solid">
          <fgColor indexed="64"/>
          <bgColor theme="0"/>
        </patternFill>
      </fill>
      <alignment horizontal="left" vertical="center" textRotation="0" wrapText="0" indent="0" justifyLastLine="0" shrinkToFit="0" readingOrder="0"/>
      <border diagonalUp="0" diagonalDown="0">
        <left/>
        <right style="thin">
          <color rgb="FF0070C0"/>
        </right>
        <top style="thin">
          <color rgb="FF0070C0"/>
        </top>
        <bottom style="thin">
          <color rgb="FF0070C0"/>
        </bottom>
        <vertical/>
        <horizontal/>
      </border>
      <protection locked="0" hidden="0"/>
    </dxf>
    <dxf>
      <border outline="0">
        <top style="thin">
          <color rgb="FF0070C0"/>
        </top>
      </border>
    </dxf>
    <dxf>
      <border outline="0">
        <left style="medium">
          <color rgb="FF0070C0"/>
        </left>
        <right style="medium">
          <color rgb="FF0070C0"/>
        </right>
        <top style="medium">
          <color rgb="FF0070C0"/>
        </top>
        <bottom style="thin">
          <color rgb="FF0070C0"/>
        </bottom>
      </border>
    </dxf>
    <dxf>
      <border outline="0">
        <bottom style="medium">
          <color rgb="FF0070C0"/>
        </bottom>
      </border>
    </dxf>
    <dxf>
      <font>
        <b/>
        <i val="0"/>
        <strike val="0"/>
        <condense val="0"/>
        <extend val="0"/>
        <outline val="0"/>
        <shadow val="0"/>
        <u val="none"/>
        <vertAlign val="baseline"/>
        <sz val="13"/>
        <color rgb="FF002060"/>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0070C0"/>
        </left>
        <right style="medium">
          <color rgb="FF0070C0"/>
        </right>
        <top/>
        <bottom/>
      </border>
      <protection locked="0" hidden="0"/>
    </dxf>
    <dxf>
      <font>
        <strike val="0"/>
        <outline val="0"/>
        <shadow val="0"/>
        <vertAlign val="baseline"/>
        <name val="Calibri"/>
        <family val="2"/>
        <scheme val="none"/>
      </font>
      <numFmt numFmtId="34" formatCode="_(&quot;$&quot;* #,##0.00_);_(&quot;$&quot;* \(#,##0.00\);_(&quot;$&quot;* &quot;-&quot;??_);_(@_)"/>
      <border diagonalUp="0" diagonalDown="0">
        <right style="medium">
          <color auto="1"/>
        </right>
      </border>
      <protection locked="0" hidden="0"/>
    </dxf>
    <dxf>
      <protection locked="0" hidden="0"/>
    </dxf>
    <dxf>
      <font>
        <b val="0"/>
        <i val="0"/>
        <strike val="0"/>
        <condense val="0"/>
        <extend val="0"/>
        <outline val="0"/>
        <shadow val="0"/>
        <u val="none"/>
        <vertAlign val="baseline"/>
        <sz val="11"/>
        <color auto="1"/>
        <name val="Calibri"/>
        <family val="2"/>
        <scheme val="none"/>
      </font>
      <fill>
        <patternFill patternType="solid">
          <fgColor indexed="64"/>
          <bgColor theme="7" tint="0.499984740745262"/>
        </patternFill>
      </fill>
      <border diagonalUp="0" diagonalDown="0">
        <left style="thin">
          <color theme="1"/>
        </left>
        <right/>
        <top style="thin">
          <color theme="1"/>
        </top>
        <bottom style="thin">
          <color theme="1"/>
        </bottom>
        <vertical/>
        <horizontal/>
      </border>
      <protection locked="0" hidden="0"/>
    </dxf>
    <dxf>
      <font>
        <b val="0"/>
        <i val="0"/>
        <strike val="0"/>
        <condense val="0"/>
        <extend val="0"/>
        <outline val="0"/>
        <shadow val="0"/>
        <u val="none"/>
        <vertAlign val="baseline"/>
        <sz val="11"/>
        <color auto="1"/>
        <name val="Calibri"/>
        <family val="2"/>
        <scheme val="none"/>
      </font>
      <numFmt numFmtId="34" formatCode="_(&quot;$&quot;* #,##0.00_);_(&quot;$&quot;* \(#,##0.00\);_(&quot;$&quot;* &quot;-&quot;??_);_(@_)"/>
      <fill>
        <patternFill patternType="solid">
          <fgColor indexed="64"/>
          <bgColor theme="7" tint="0.499984740745262"/>
        </patternFill>
      </fill>
      <alignment horizontal="center" textRotation="0" indent="0" justifyLastLine="0" shrinkToFit="0" readingOrder="0"/>
      <border diagonalUp="0" diagonalDown="0">
        <left style="thin">
          <color theme="1"/>
        </left>
        <right/>
        <top style="thin">
          <color theme="1"/>
        </top>
        <bottom style="thin">
          <color theme="1"/>
        </bottom>
      </border>
      <protection locked="0" hidden="0"/>
    </dxf>
    <dxf>
      <font>
        <strike val="0"/>
        <outline val="0"/>
        <shadow val="0"/>
        <vertAlign val="baseline"/>
        <name val="Calibri"/>
        <family val="2"/>
        <scheme val="none"/>
      </font>
      <alignment wrapText="1"/>
      <protection locked="0" hidden="0"/>
    </dxf>
    <dxf>
      <protection locked="0" hidden="0"/>
    </dxf>
    <dxf>
      <font>
        <strike val="0"/>
        <outline val="0"/>
        <shadow val="0"/>
        <vertAlign val="baseline"/>
        <name val="Calibri"/>
        <family val="2"/>
        <scheme val="none"/>
      </font>
      <alignment horizontal="center" textRotation="0" indent="0" justifyLastLine="0" shrinkToFit="0" readingOrder="0"/>
      <protection locked="0" hidden="0"/>
    </dxf>
    <dxf>
      <font>
        <strike val="0"/>
        <outline val="0"/>
        <shadow val="0"/>
        <vertAlign val="baseline"/>
        <name val="Calibri"/>
        <family val="2"/>
        <scheme val="none"/>
      </font>
      <protection locked="0" hidden="0"/>
    </dxf>
    <dxf>
      <font>
        <strike val="0"/>
        <outline val="0"/>
        <shadow val="0"/>
        <vertAlign val="baseline"/>
        <name val="Calibri"/>
        <family val="2"/>
        <scheme val="none"/>
      </font>
      <border diagonalUp="0" diagonalDown="0">
        <left style="medium">
          <color indexed="64"/>
        </left>
      </border>
      <protection locked="0" hidden="0"/>
    </dxf>
    <dxf>
      <font>
        <strike val="0"/>
        <outline val="0"/>
        <shadow val="0"/>
        <vertAlign val="baseline"/>
        <name val="Calibri"/>
        <family val="2"/>
        <scheme val="none"/>
      </font>
      <protection locked="0" hidden="0"/>
    </dxf>
    <dxf>
      <border>
        <bottom style="thin">
          <color indexed="64"/>
        </bottom>
      </border>
    </dxf>
    <dxf>
      <font>
        <b/>
        <strike val="0"/>
        <outline val="0"/>
        <shadow val="0"/>
        <vertAlign val="baseline"/>
        <color auto="1"/>
        <name val="Calibri"/>
        <family val="2"/>
        <scheme val="none"/>
      </font>
      <border diagonalUp="0" diagonalDown="0">
        <left style="thin">
          <color indexed="64"/>
        </left>
        <right style="thin">
          <color indexed="64"/>
        </right>
        <top/>
        <bottom/>
        <vertical style="thin">
          <color indexed="64"/>
        </vertical>
        <horizontal/>
      </border>
      <protection locked="1" hidden="0"/>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TableStyle="Invoice" defaultPivotStyle="PivotStyleLight16">
    <tableStyle name="Invoice" pivot="0" count="6" xr9:uid="{00000000-0011-0000-FFFF-FFFF00000000}">
      <tableStyleElement type="wholeTable" dxfId="95"/>
      <tableStyleElement type="headerRow" dxfId="94"/>
      <tableStyleElement type="totalRow" dxfId="93"/>
      <tableStyleElement type="lastColumn" dxfId="92"/>
      <tableStyleElement type="firstRowStripe" dxfId="91"/>
      <tableStyleElement type="secondRowStripe" dxfId="9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5FCB6"/>
      <color rgb="FFA7FC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188819</xdr:colOff>
      <xdr:row>0</xdr:row>
      <xdr:rowOff>57150</xdr:rowOff>
    </xdr:from>
    <xdr:to>
      <xdr:col>4</xdr:col>
      <xdr:colOff>1134764</xdr:colOff>
      <xdr:row>0</xdr:row>
      <xdr:rowOff>372221</xdr:rowOff>
    </xdr:to>
    <xdr:pic>
      <xdr:nvPicPr>
        <xdr:cNvPr id="2" name="Picture 1">
          <a:extLst>
            <a:ext uri="{FF2B5EF4-FFF2-40B4-BE49-F238E27FC236}">
              <a16:creationId xmlns:a16="http://schemas.microsoft.com/office/drawing/2014/main" id="{96AAE276-9685-033F-06B1-B7E3D3A9522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7226113" y="57150"/>
          <a:ext cx="2300923" cy="318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628650</xdr:rowOff>
    </xdr:from>
    <xdr:to>
      <xdr:col>9</xdr:col>
      <xdr:colOff>95250</xdr:colOff>
      <xdr:row>37</xdr:row>
      <xdr:rowOff>351477</xdr:rowOff>
    </xdr:to>
    <xdr:pic>
      <xdr:nvPicPr>
        <xdr:cNvPr id="3" name="Picture 2">
          <a:extLst>
            <a:ext uri="{FF2B5EF4-FFF2-40B4-BE49-F238E27FC236}">
              <a16:creationId xmlns:a16="http://schemas.microsoft.com/office/drawing/2014/main" id="{BC72A01E-A72A-5697-769A-68D3A0E53301}"/>
            </a:ext>
          </a:extLst>
        </xdr:cNvPr>
        <xdr:cNvPicPr>
          <a:picLocks noChangeAspect="1"/>
        </xdr:cNvPicPr>
      </xdr:nvPicPr>
      <xdr:blipFill rotWithShape="1">
        <a:blip xmlns:r="http://schemas.openxmlformats.org/officeDocument/2006/relationships" r:embed="rId1"/>
        <a:srcRect t="5671"/>
        <a:stretch/>
      </xdr:blipFill>
      <xdr:spPr>
        <a:xfrm>
          <a:off x="9525" y="628650"/>
          <a:ext cx="12849225" cy="1446752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J62" totalsRowShown="0" headerRowDxfId="89" dataDxfId="87" headerRowBorderDxfId="88" headerRowCellStyle="Heading 2">
  <autoFilter ref="B8:J62"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000-000001000000}" name="Description" dataDxfId="86"/>
    <tableColumn id="2" xr3:uid="{00000000-0010-0000-0000-000002000000}" name="Detail/Notes" dataDxfId="85"/>
    <tableColumn id="7" xr3:uid="{00000000-0010-0000-0000-000007000000}" name="Unit Type" dataDxfId="84"/>
    <tableColumn id="11" xr3:uid="{A9CF0721-C677-4E0B-8570-F48BB90F814E}" name="Material Qty" dataDxfId="83"/>
    <tableColumn id="8" xr3:uid="{00000000-0010-0000-0000-000008000000}" name="Material Unit Price" dataDxfId="82"/>
    <tableColumn id="9" xr3:uid="{7A99D906-7FD7-40DD-8D23-E301985D2A22}" name="Material Total" dataDxfId="81" dataCellStyle="Quantity">
      <calculatedColumnFormula>SimpleInvoice[[#This Row],[Material Qty]]*SimpleInvoice[[#This Row],[Material Unit Price]]</calculatedColumnFormula>
    </tableColumn>
    <tableColumn id="6" xr3:uid="{95F91D3B-501F-4434-BBE3-FA8A944F555B}" name="Labor Total" dataDxfId="80" dataCellStyle="Quantity"/>
    <tableColumn id="4" xr3:uid="{956EFF61-0AD1-41E4-9692-0BA137D9CF43}" name="Subcontracted_x000a_(Y/N)" dataDxfId="79"/>
    <tableColumn id="3" xr3:uid="{1658FC93-62B5-4EC7-9857-E2AE6834EC8E}" name="Total Cost" dataDxfId="78">
      <calculatedColumnFormula>SimpleInvoice[[#This Row],[Material Total]]+SimpleInvoice[[#This Row],[Labor Total]]</calculatedColumnFormula>
    </tableColumn>
  </tableColumns>
  <tableStyleInfo name="TableStyleLight1" showFirstColumn="0" showLastColumn="1" showRowStripes="1" showColumnStripes="0"/>
  <extLst>
    <ext xmlns:x14="http://schemas.microsoft.com/office/spreadsheetml/2009/9/main" uri="{504A1905-F514-4f6f-8877-14C23A59335A}">
      <x14:table altTextSummary="Invoice list with item #, description, quantity, unit price, discount and pric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3861E3-F18E-409B-97E9-EA16E24E6D31}" name="Table2" displayName="Table2" ref="A38:I50" totalsRowShown="0" headerRowDxfId="77" headerRowBorderDxfId="76" tableBorderDxfId="75" totalsRowBorderDxfId="74">
  <autoFilter ref="A38:I50" xr:uid="{C55028CC-24FB-4C3F-B36D-2BF1509DC4D1}"/>
  <tableColumns count="9">
    <tableColumn id="1" xr3:uid="{814F35EC-507F-4472-B676-ED0687A15D45}" name="Cost Item" dataDxfId="73"/>
    <tableColumn id="2" xr3:uid="{07B808B2-3BD6-4598-9339-5EB92D704CCD}" name="Detail/Notes" dataDxfId="72"/>
    <tableColumn id="3" xr3:uid="{5914AC7E-6336-4F52-93C6-6B52C2671ADE}" name="Unit Type" dataDxfId="71"/>
    <tableColumn id="4" xr3:uid="{09DE4FB8-C485-4F3B-810F-ADF09374287C}" name="Material Quantity" dataDxfId="70"/>
    <tableColumn id="5" xr3:uid="{A9C640ED-A441-45BE-A21A-6979158521E0}" name="Material United Price" dataDxfId="69" dataCellStyle="Currency"/>
    <tableColumn id="6" xr3:uid="{B97F1A3A-4047-4547-9379-5775AC0FFDE2}" name="Material Total" dataDxfId="68" dataCellStyle="Currency">
      <calculatedColumnFormula>D39*E39</calculatedColumnFormula>
    </tableColumn>
    <tableColumn id="7" xr3:uid="{7E062EC4-2824-40D6-9A50-2CFCAD03FA13}" name="Labor Total" dataDxfId="67" dataCellStyle="Currency"/>
    <tableColumn id="8" xr3:uid="{FC0ABAB9-5598-4B1E-8BFD-465F8CC60A6E}" name="Total Cost" dataDxfId="66" dataCellStyle="Currency">
      <calculatedColumnFormula>SUM(F39:G39)</calculatedColumnFormula>
    </tableColumn>
    <tableColumn id="9" xr3:uid="{91CF512B-75A3-4BCA-9BA4-01B7ADE34201}" name="Subcontracted Y/N" dataDxfId="6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2C413F-0508-4849-8057-EC637FB6A78E}" name="Table3" displayName="Table3" ref="A31:I36" totalsRowShown="0" headerRowDxfId="64" headerRowBorderDxfId="63" tableBorderDxfId="62" totalsRowBorderDxfId="61">
  <autoFilter ref="A31:I36" xr:uid="{B3924035-056F-416A-AEC3-C9D038274E06}"/>
  <tableColumns count="9">
    <tableColumn id="1" xr3:uid="{34304EAF-0E20-4AB8-9960-931EC73E0645}" name="Cost Item" dataDxfId="60"/>
    <tableColumn id="2" xr3:uid="{C38577A0-00FC-4B24-99F6-CEAAF3F27AE0}" name="Detail/Notes" dataDxfId="59"/>
    <tableColumn id="3" xr3:uid="{9BDA8C32-D84C-4B09-A1DF-FE3CF84F19F8}" name="Unit Type" dataDxfId="58"/>
    <tableColumn id="4" xr3:uid="{77F3D5E1-699E-42A7-AABE-83E2A526A8B1}" name="Material Quantity" dataDxfId="57"/>
    <tableColumn id="5" xr3:uid="{A1E374C0-F649-4FA6-94DA-A771CA600E09}" name="Material United Price" dataDxfId="56" dataCellStyle="Currency"/>
    <tableColumn id="6" xr3:uid="{8788F133-89C3-40C8-ACF2-0BF8C2E222CA}" name="Material Total" dataDxfId="55" dataCellStyle="Currency">
      <calculatedColumnFormula>D32*E32</calculatedColumnFormula>
    </tableColumn>
    <tableColumn id="7" xr3:uid="{25EFECCE-8629-4849-8B27-AEB9965ADC62}" name="Labor Total" dataDxfId="54" dataCellStyle="Currency"/>
    <tableColumn id="8" xr3:uid="{BE50DA10-1A71-48EF-87C0-29FAEEBCAF5E}" name="Total Cost" dataDxfId="53" dataCellStyle="Currency">
      <calculatedColumnFormula>SUM(F32:G32)</calculatedColumnFormula>
    </tableColumn>
    <tableColumn id="9" xr3:uid="{17EB9D23-0EF1-4492-A91C-BECBA85FC9EF}" name="Subcontracted Y/N" dataDxfId="5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C47E82-1F8E-4ABC-8337-218A6AF41BBE}" name="Table4" displayName="Table4" ref="A24:I29" totalsRowShown="0" headerRowDxfId="51" headerRowBorderDxfId="50" tableBorderDxfId="49" totalsRowBorderDxfId="48">
  <autoFilter ref="A24:I29" xr:uid="{68DDFD8F-617F-425A-BE81-EA6C2B77F3C8}"/>
  <tableColumns count="9">
    <tableColumn id="1" xr3:uid="{FA362529-D8FD-46AE-ADC9-AE017C1B8E22}" name="Cost Item" dataDxfId="47"/>
    <tableColumn id="2" xr3:uid="{E70A2672-325D-4B16-8A13-AD72F221338B}" name="Detail/Notes" dataDxfId="46"/>
    <tableColumn id="3" xr3:uid="{97DE7BF6-1242-4E0F-9F1B-39EB8014210C}" name="Unit Type" dataDxfId="45"/>
    <tableColumn id="4" xr3:uid="{56332F6A-CC6A-4DCA-A8B3-261C154EA613}" name="Material Quantity" dataDxfId="44"/>
    <tableColumn id="5" xr3:uid="{57F72581-CA2E-4E1D-BA82-386BAFA1D313}" name="Material United Price" dataDxfId="43" dataCellStyle="Currency"/>
    <tableColumn id="6" xr3:uid="{73F87925-49A2-4C78-BB87-273D060C5098}" name="Material Total" dataDxfId="42" dataCellStyle="Currency">
      <calculatedColumnFormula>D25*E25</calculatedColumnFormula>
    </tableColumn>
    <tableColumn id="7" xr3:uid="{E4051102-8942-4DCC-9E77-844B5AF98145}" name="Labor Total" dataDxfId="41" dataCellStyle="Currency"/>
    <tableColumn id="8" xr3:uid="{AC93B0B6-D9D9-4A20-8BC5-996ACDC130B7}" name="Total Cost" dataDxfId="40" dataCellStyle="Currency">
      <calculatedColumnFormula>SUM(F25:G25)</calculatedColumnFormula>
    </tableColumn>
    <tableColumn id="9" xr3:uid="{0A2A8286-FE06-4DC2-AD8C-4C680ABF38CF}" name="Subcontracted Y/N" dataDxfId="3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FA621CB-8078-4F97-9627-FBC7F50A46D2}" name="Table5" displayName="Table5" ref="A17:I22" totalsRowShown="0" headerRowDxfId="38" headerRowBorderDxfId="37" tableBorderDxfId="36" totalsRowBorderDxfId="35">
  <autoFilter ref="A17:I22" xr:uid="{33903FD6-9851-4640-A774-8D633981C77E}"/>
  <tableColumns count="9">
    <tableColumn id="1" xr3:uid="{80C8314A-6D10-4399-8CB5-19F5D4E1A51A}" name="Cost Item" dataDxfId="34"/>
    <tableColumn id="2" xr3:uid="{3C02698E-8C5A-4786-AC53-083CC95A8E3A}" name="Detail/Notes" dataDxfId="33"/>
    <tableColumn id="3" xr3:uid="{57FB69DE-58C8-422F-854A-2A70A29CEB8E}" name="Unit Type" dataDxfId="32"/>
    <tableColumn id="4" xr3:uid="{568F58E5-45B9-4263-9731-4C4AEED60D88}" name="Material Quantity" dataDxfId="31"/>
    <tableColumn id="5" xr3:uid="{2A2F8D10-7284-48B0-8F18-EFB8A6C1E0F2}" name="Material United Price" dataDxfId="30" dataCellStyle="Currency"/>
    <tableColumn id="6" xr3:uid="{818EF284-28C8-4241-9D43-D46EC4CF27A6}" name="Material Total" dataDxfId="29" dataCellStyle="Currency">
      <calculatedColumnFormula>D18*E18</calculatedColumnFormula>
    </tableColumn>
    <tableColumn id="7" xr3:uid="{C84AAFA9-63BD-468A-9D96-48BEF251F57C}" name="Labor Total" dataDxfId="28" dataCellStyle="Currency"/>
    <tableColumn id="8" xr3:uid="{146D4F10-95BF-400E-ADAF-F15F191DA98D}" name="Total Cost" dataDxfId="27" dataCellStyle="Currency">
      <calculatedColumnFormula>SUM(F18:G18)</calculatedColumnFormula>
    </tableColumn>
    <tableColumn id="9" xr3:uid="{BA9DA43C-CFB6-4E66-9A46-045DCEBF1350}" name="Subcontracted Y/N" dataDxfId="2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1BB42DC-6079-43E1-93CD-ADE38ADCC31F}" name="Table6" displayName="Table6" ref="A10:I15" totalsRowShown="0" headerRowDxfId="25" headerRowBorderDxfId="24" tableBorderDxfId="23" totalsRowBorderDxfId="22">
  <autoFilter ref="A10:I15" xr:uid="{CDAE4A2B-7FB2-47AE-BAB0-57A81F52774D}"/>
  <tableColumns count="9">
    <tableColumn id="1" xr3:uid="{0389B311-B9EC-449A-BAFB-1AC385FF8D25}" name="Cost Item" dataDxfId="21"/>
    <tableColumn id="2" xr3:uid="{2EE54129-6990-4E1D-B0C5-0173A79BB643}" name="Detail/Notes" dataDxfId="20"/>
    <tableColumn id="3" xr3:uid="{E6E40048-7528-4AAA-9D6B-DA38C33DEA49}" name="Unit Type" dataDxfId="19"/>
    <tableColumn id="4" xr3:uid="{61971C96-E807-4A1D-919C-7D4D3E713CE6}" name="Material Quantity" dataDxfId="18"/>
    <tableColumn id="5" xr3:uid="{B41C1B44-7E4F-41B7-A1F6-44EF0D5DF761}" name="Material United Price" dataDxfId="17" dataCellStyle="Currency"/>
    <tableColumn id="6" xr3:uid="{4AA4994F-3FF6-46F7-8AE7-08523B687CDA}" name="Material Total" dataDxfId="16" dataCellStyle="Currency">
      <calculatedColumnFormula>D11*E11</calculatedColumnFormula>
    </tableColumn>
    <tableColumn id="7" xr3:uid="{2ED2326F-2465-46CB-8155-9B8BD39D068C}" name="Labor Total" dataDxfId="15" dataCellStyle="Currency"/>
    <tableColumn id="8" xr3:uid="{984998C1-213A-4074-B571-EE4A8FE61B18}" name="Total Cost" dataDxfId="14" dataCellStyle="Currency">
      <calculatedColumnFormula>SUM(F11:G11)</calculatedColumnFormula>
    </tableColumn>
    <tableColumn id="9" xr3:uid="{54A425B5-96C5-4D13-A2A1-9A343D23A616}" name="Subcontracted Y/N" dataDxfId="1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8570335-15FF-48DD-9FC6-F6EA862494BE}" name="Table7" displayName="Table7" ref="A2:I8" totalsRowShown="0" headerRowDxfId="12" headerRowBorderDxfId="11" tableBorderDxfId="10" totalsRowBorderDxfId="9">
  <autoFilter ref="A2:I8" xr:uid="{C1A54151-3F54-46D5-9D03-5ACDCEE6B310}"/>
  <tableColumns count="9">
    <tableColumn id="1" xr3:uid="{BDA46DD7-76F2-4C03-BA6F-DA26DFBB891F}" name="Cost Item" dataDxfId="8"/>
    <tableColumn id="2" xr3:uid="{B13D9169-51E0-4EEA-9DF3-FEE0BF0CCCF6}" name="Detail/Notes" dataDxfId="7"/>
    <tableColumn id="3" xr3:uid="{055A340B-1D4C-43A8-B69B-4B1ED23440C6}" name="Unit Type" dataDxfId="6"/>
    <tableColumn id="4" xr3:uid="{DEECE791-60FC-41C2-9C22-949B038F8DBF}" name="Material Quantity" dataDxfId="5"/>
    <tableColumn id="5" xr3:uid="{8DF4A545-F445-40CE-9535-40CE56CB18FE}" name="Material United Price" dataDxfId="4" dataCellStyle="Currency"/>
    <tableColumn id="6" xr3:uid="{FD537886-A535-44BC-9EB3-2BCD4991A349}" name="Material Total" dataDxfId="3" dataCellStyle="Currency">
      <calculatedColumnFormula>D3*E3</calculatedColumnFormula>
    </tableColumn>
    <tableColumn id="7" xr3:uid="{0BAAFF27-AABD-470F-B5B6-FB13CD5486EA}" name="Labor Total" dataDxfId="2" dataCellStyle="Currency"/>
    <tableColumn id="8" xr3:uid="{59466092-EF19-4769-9BF9-7133C69D32AE}" name="Total Cost" dataDxfId="1" dataCellStyle="Currency">
      <calculatedColumnFormula>SUM(F3:G3)</calculatedColumnFormula>
    </tableColumn>
    <tableColumn id="9" xr3:uid="{971D6BAF-52B3-49CC-AA2C-0B9CF99F1039}" name="Subcontracted Y/N" dataDxfId="0"/>
  </tableColumns>
  <tableStyleInfo name="TableStyleMedium2" showFirstColumn="0" showLastColumn="0" showRowStripes="1" showColumnStripes="0"/>
</table>
</file>

<file path=xl/theme/theme1.xml><?xml version="1.0" encoding="utf-8"?>
<a:theme xmlns:a="http://schemas.openxmlformats.org/drawingml/2006/main" name="ES Theme">
  <a:themeElements>
    <a:clrScheme name="Custom 1">
      <a:dk1>
        <a:srgbClr val="000000"/>
      </a:dk1>
      <a:lt1>
        <a:srgbClr val="FFFFFF"/>
      </a:lt1>
      <a:dk2>
        <a:srgbClr val="289B99"/>
      </a:dk2>
      <a:lt2>
        <a:srgbClr val="FFFFFF"/>
      </a:lt2>
      <a:accent1>
        <a:srgbClr val="007749"/>
      </a:accent1>
      <a:accent2>
        <a:srgbClr val="00B140"/>
      </a:accent2>
      <a:accent3>
        <a:srgbClr val="00AEEF"/>
      </a:accent3>
      <a:accent4>
        <a:srgbClr val="04415C"/>
      </a:accent4>
      <a:accent5>
        <a:srgbClr val="7DC718"/>
      </a:accent5>
      <a:accent6>
        <a:srgbClr val="CDDC31"/>
      </a:accent6>
      <a:hlink>
        <a:srgbClr val="0092CC"/>
      </a:hlink>
      <a:folHlink>
        <a:srgbClr val="808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bg1"/>
        </a:solidFill>
        <a:ln w="9525" cap="flat" cmpd="sng" algn="ctr">
          <a:noFill/>
          <a:prstDash val="solid"/>
          <a:round/>
          <a:headEnd type="none" w="med" len="med"/>
          <a:tailEnd type="oval" w="med" len="med"/>
        </a:ln>
        <a:effectLst/>
      </a:spPr>
      <a:bodyPr vert="horz" wrap="square" lIns="91440" tIns="45720" rIns="91440" bIns="45720" numCol="1" rtlCol="0" anchor="t" anchorCtr="0" compatLnSpc="1">
        <a:prstTxWarp prst="textNoShape">
          <a:avLst/>
        </a:prstTxWarp>
        <a:noAutofit/>
      </a:bodyPr>
      <a:lstStyle>
        <a:defPPr marL="0" marR="0" indent="0" algn="l" defTabSz="457200" rtl="0" eaLnBrk="1" fontAlgn="base" latinLnBrk="0" hangingPunct="1">
          <a:lnSpc>
            <a:spcPct val="100000"/>
          </a:lnSpc>
          <a:spcBef>
            <a:spcPct val="50000"/>
          </a:spcBef>
          <a:spcAft>
            <a:spcPct val="0"/>
          </a:spcAft>
          <a:buClrTx/>
          <a:buSzTx/>
          <a:buFontTx/>
          <a:buNone/>
          <a:tabLst/>
          <a:defRPr kumimoji="0" sz="1800" b="1" i="0" u="none" strike="noStrike" cap="none" normalizeH="0" baseline="0">
            <a:ln>
              <a:noFill/>
            </a:ln>
            <a:solidFill>
              <a:schemeClr val="tx1"/>
            </a:solidFill>
            <a:effectLst/>
            <a:latin typeface="Arial" charset="0"/>
            <a:ea typeface="MS PGothic" pitchFamily="34" charset="-128"/>
          </a:defRPr>
        </a:defPPr>
      </a:lstStyle>
    </a:spDef>
    <a:lnDef>
      <a:spPr bwMode="auto">
        <a:xfrm>
          <a:off x="0" y="0"/>
          <a:ext cx="1" cy="1"/>
        </a:xfrm>
        <a:custGeom>
          <a:avLst/>
          <a:gdLst/>
          <a:ahLst/>
          <a:cxnLst/>
          <a:rect l="0" t="0" r="0" b="0"/>
          <a:pathLst/>
        </a:cu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cap="flat" cmpd="sng" algn="ctr">
              <a:solidFill>
                <a:schemeClr val="tx1"/>
              </a:solidFill>
              <a:prstDash val="solid"/>
              <a:round/>
              <a:headEnd type="none" w="med" len="med"/>
              <a:tailEnd type="none" w="med" len="med"/>
            </a14:hiddenLine>
          </a:ext>
          <a:ext uri="{AF507438-7753-43E0-B8FC-AC1667EBCBE1}">
            <a14:hiddenEffects xmlns:a14="http://schemas.microsoft.com/office/drawing/2010/main">
              <a:effectLst>
                <a:outerShdw dist="35921" dir="2700000" algn="ctr" rotWithShape="0">
                  <a:schemeClr val="bg2"/>
                </a:outerShdw>
              </a:effectLst>
            </a14:hiddenEffects>
          </a:ext>
        </a:extLst>
      </a:spPr>
      <a:bodyPr vert="horz" wrap="square" lIns="91440" tIns="45720" rIns="91440" bIns="45720" numCol="1" anchor="t" anchorCtr="0" compatLnSpc="1">
        <a:prstTxWarp prst="textNoShape">
          <a:avLst/>
        </a:prstTxWarp>
        <a:spAutoFit/>
      </a:bodyPr>
      <a:lstStyle>
        <a:defPPr marL="0" marR="0" indent="0" algn="l" defTabSz="457200" rtl="0" eaLnBrk="1" fontAlgn="base" latinLnBrk="0" hangingPunct="1">
          <a:lnSpc>
            <a:spcPct val="100000"/>
          </a:lnSpc>
          <a:spcBef>
            <a:spcPct val="50000"/>
          </a:spcBef>
          <a:spcAft>
            <a:spcPct val="0"/>
          </a:spcAft>
          <a:buClrTx/>
          <a:buSzTx/>
          <a:buFontTx/>
          <a:buNone/>
          <a:tabLst/>
          <a:defRPr kumimoji="0" lang="en-US" sz="1800" b="1" i="0" u="none" strike="noStrike" cap="none" normalizeH="0" baseline="0" smtClean="0">
            <a:ln>
              <a:noFill/>
            </a:ln>
            <a:solidFill>
              <a:schemeClr val="tx1"/>
            </a:solidFill>
            <a:effectLst/>
            <a:latin typeface="Arial" charset="0"/>
            <a:ea typeface="MS PGothic" pitchFamily="34" charset="-128"/>
          </a:defRPr>
        </a:defPPr>
      </a:lstStyle>
    </a:lnDef>
  </a:objectDefaults>
  <a:extraClrSchemeLst>
    <a:extraClrScheme>
      <a:clrScheme name="4_NSTAR_Top_Blue-Red 1">
        <a:dk1>
          <a:srgbClr val="000000"/>
        </a:dk1>
        <a:lt1>
          <a:srgbClr val="FFFFFF"/>
        </a:lt1>
        <a:dk2>
          <a:srgbClr val="0000FF"/>
        </a:dk2>
        <a:lt2>
          <a:srgbClr val="FFFF00"/>
        </a:lt2>
        <a:accent1>
          <a:srgbClr val="FF9900"/>
        </a:accent1>
        <a:accent2>
          <a:srgbClr val="00FFFF"/>
        </a:accent2>
        <a:accent3>
          <a:srgbClr val="AAAAFF"/>
        </a:accent3>
        <a:accent4>
          <a:srgbClr val="DADADA"/>
        </a:accent4>
        <a:accent5>
          <a:srgbClr val="FFCAAA"/>
        </a:accent5>
        <a:accent6>
          <a:srgbClr val="00E7E7"/>
        </a:accent6>
        <a:hlink>
          <a:srgbClr val="FF0000"/>
        </a:hlink>
        <a:folHlink>
          <a:srgbClr val="969696"/>
        </a:folHlink>
      </a:clrScheme>
      <a:clrMap bg1="dk2" tx1="lt1" bg2="dk1" tx2="lt2" accent1="accent1" accent2="accent2" accent3="accent3" accent4="accent4" accent5="accent5" accent6="accent6" hlink="hlink" folHlink="folHlink"/>
    </a:extraClrScheme>
    <a:extraClrScheme>
      <a:clrScheme name="4_NSTAR_Top_Blue-Red 2">
        <a:dk1>
          <a:srgbClr val="000000"/>
        </a:dk1>
        <a:lt1>
          <a:srgbClr val="FFFFFF"/>
        </a:lt1>
        <a:dk2>
          <a:srgbClr val="000000"/>
        </a:dk2>
        <a:lt2>
          <a:srgbClr val="808080"/>
        </a:lt2>
        <a:accent1>
          <a:srgbClr val="00CC99"/>
        </a:accent1>
        <a:accent2>
          <a:srgbClr val="3333CC"/>
        </a:accent2>
        <a:accent3>
          <a:srgbClr val="FFFFFF"/>
        </a:accent3>
        <a:accent4>
          <a:srgbClr val="000000"/>
        </a:accent4>
        <a:accent5>
          <a:srgbClr val="AAE2CA"/>
        </a:accent5>
        <a:accent6>
          <a:srgbClr val="2D2DB9"/>
        </a:accent6>
        <a:hlink>
          <a:srgbClr val="CCCCFF"/>
        </a:hlink>
        <a:folHlink>
          <a:srgbClr val="B2B2B2"/>
        </a:folHlink>
      </a:clrScheme>
      <a:clrMap bg1="lt1" tx1="dk1" bg2="lt2" tx2="dk2" accent1="accent1" accent2="accent2" accent3="accent3" accent4="accent4" accent5="accent5" accent6="accent6" hlink="hlink" folHlink="folHlink"/>
    </a:extraClrScheme>
    <a:extraClrScheme>
      <a:clrScheme name="4_NSTAR_Top_Blue-Red 3">
        <a:dk1>
          <a:srgbClr val="000000"/>
        </a:dk1>
        <a:lt1>
          <a:srgbClr val="FFFFFF"/>
        </a:lt1>
        <a:dk2>
          <a:srgbClr val="000000"/>
        </a:dk2>
        <a:lt2>
          <a:srgbClr val="333333"/>
        </a:lt2>
        <a:accent1>
          <a:srgbClr val="DDDDDD"/>
        </a:accent1>
        <a:accent2>
          <a:srgbClr val="808080"/>
        </a:accent2>
        <a:accent3>
          <a:srgbClr val="FFFFFF"/>
        </a:accent3>
        <a:accent4>
          <a:srgbClr val="000000"/>
        </a:accent4>
        <a:accent5>
          <a:srgbClr val="EBEBEB"/>
        </a:accent5>
        <a:accent6>
          <a:srgbClr val="737373"/>
        </a:accent6>
        <a:hlink>
          <a:srgbClr val="4D4D4D"/>
        </a:hlink>
        <a:folHlink>
          <a:srgbClr val="EAEAEA"/>
        </a:folHlink>
      </a:clrScheme>
      <a:clrMap bg1="lt1" tx1="dk1" bg2="lt2" tx2="dk2" accent1="accent1" accent2="accent2" accent3="accent3" accent4="accent4" accent5="accent5" accent6="accent6" hlink="hlink" folHlink="folHlink"/>
    </a:extraClrScheme>
    <a:extraClrScheme>
      <a:clrScheme name="4_NSTAR_Top_Blue-Red 4">
        <a:dk1>
          <a:srgbClr val="000000"/>
        </a:dk1>
        <a:lt1>
          <a:srgbClr val="FFFFCC"/>
        </a:lt1>
        <a:dk2>
          <a:srgbClr val="808000"/>
        </a:dk2>
        <a:lt2>
          <a:srgbClr val="666633"/>
        </a:lt2>
        <a:accent1>
          <a:srgbClr val="339933"/>
        </a:accent1>
        <a:accent2>
          <a:srgbClr val="800000"/>
        </a:accent2>
        <a:accent3>
          <a:srgbClr val="FFFFE2"/>
        </a:accent3>
        <a:accent4>
          <a:srgbClr val="000000"/>
        </a:accent4>
        <a:accent5>
          <a:srgbClr val="ADCAAD"/>
        </a:accent5>
        <a:accent6>
          <a:srgbClr val="730000"/>
        </a:accent6>
        <a:hlink>
          <a:srgbClr val="0033CC"/>
        </a:hlink>
        <a:folHlink>
          <a:srgbClr val="FFCC66"/>
        </a:folHlink>
      </a:clrScheme>
      <a:clrMap bg1="lt1" tx1="dk1" bg2="lt2" tx2="dk2" accent1="accent1" accent2="accent2" accent3="accent3" accent4="accent4" accent5="accent5" accent6="accent6" hlink="hlink" folHlink="folHlink"/>
    </a:extraClrScheme>
    <a:extraClrScheme>
      <a:clrScheme name="4_NSTAR_Top_Blue-Red 5">
        <a:dk1>
          <a:srgbClr val="000000"/>
        </a:dk1>
        <a:lt1>
          <a:srgbClr val="FFFFFF"/>
        </a:lt1>
        <a:dk2>
          <a:srgbClr val="000000"/>
        </a:dk2>
        <a:lt2>
          <a:srgbClr val="808080"/>
        </a:lt2>
        <a:accent1>
          <a:srgbClr val="FFCC66"/>
        </a:accent1>
        <a:accent2>
          <a:srgbClr val="0000FF"/>
        </a:accent2>
        <a:accent3>
          <a:srgbClr val="FFFFFF"/>
        </a:accent3>
        <a:accent4>
          <a:srgbClr val="000000"/>
        </a:accent4>
        <a:accent5>
          <a:srgbClr val="FFE2B8"/>
        </a:accent5>
        <a:accent6>
          <a:srgbClr val="0000E7"/>
        </a:accent6>
        <a:hlink>
          <a:srgbClr val="CC00CC"/>
        </a:hlink>
        <a:folHlink>
          <a:srgbClr val="C0C0C0"/>
        </a:folHlink>
      </a:clrScheme>
      <a:clrMap bg1="lt1" tx1="dk1" bg2="lt2" tx2="dk2" accent1="accent1" accent2="accent2" accent3="accent3" accent4="accent4" accent5="accent5" accent6="accent6" hlink="hlink" folHlink="folHlink"/>
    </a:extraClrScheme>
    <a:extraClrScheme>
      <a:clrScheme name="4_NSTAR_Top_Blue-Red 6">
        <a:dk1>
          <a:srgbClr val="000000"/>
        </a:dk1>
        <a:lt1>
          <a:srgbClr val="FFFFFF"/>
        </a:lt1>
        <a:dk2>
          <a:srgbClr val="000000"/>
        </a:dk2>
        <a:lt2>
          <a:srgbClr val="808080"/>
        </a:lt2>
        <a:accent1>
          <a:srgbClr val="C0C0C0"/>
        </a:accent1>
        <a:accent2>
          <a:srgbClr val="0066FF"/>
        </a:accent2>
        <a:accent3>
          <a:srgbClr val="FFFFFF"/>
        </a:accent3>
        <a:accent4>
          <a:srgbClr val="000000"/>
        </a:accent4>
        <a:accent5>
          <a:srgbClr val="DCDCDC"/>
        </a:accent5>
        <a:accent6>
          <a:srgbClr val="005CE7"/>
        </a:accent6>
        <a:hlink>
          <a:srgbClr val="FF0000"/>
        </a:hlink>
        <a:folHlink>
          <a:srgbClr val="009900"/>
        </a:folHlink>
      </a:clrScheme>
      <a:clrMap bg1="lt1" tx1="dk1" bg2="lt2" tx2="dk2" accent1="accent1" accent2="accent2" accent3="accent3" accent4="accent4" accent5="accent5" accent6="accent6" hlink="hlink" folHlink="folHlink"/>
    </a:extraClrScheme>
    <a:extraClrScheme>
      <a:clrScheme name="4_NSTAR_Top_Blue-Red 7">
        <a:dk1>
          <a:srgbClr val="000000"/>
        </a:dk1>
        <a:lt1>
          <a:srgbClr val="FFFFFF"/>
        </a:lt1>
        <a:dk2>
          <a:srgbClr val="000000"/>
        </a:dk2>
        <a:lt2>
          <a:srgbClr val="808080"/>
        </a:lt2>
        <a:accent1>
          <a:srgbClr val="3399FF"/>
        </a:accent1>
        <a:accent2>
          <a:srgbClr val="99FFCC"/>
        </a:accent2>
        <a:accent3>
          <a:srgbClr val="FFFFFF"/>
        </a:accent3>
        <a:accent4>
          <a:srgbClr val="000000"/>
        </a:accent4>
        <a:accent5>
          <a:srgbClr val="ADCAFF"/>
        </a:accent5>
        <a:accent6>
          <a:srgbClr val="8AE7B9"/>
        </a:accent6>
        <a:hlink>
          <a:srgbClr val="CC00CC"/>
        </a:hlink>
        <a:folHlink>
          <a:srgbClr val="B2B2B2"/>
        </a:folHlink>
      </a:clrScheme>
      <a:clrMap bg1="lt1" tx1="dk1" bg2="lt2" tx2="dk2" accent1="accent1" accent2="accent2" accent3="accent3" accent4="accent4" accent5="accent5" accent6="accent6" hlink="hlink" folHlink="folHlink"/>
    </a:extraClrScheme>
  </a:extraClrSchemeLst>
  <a:extLst>
    <a:ext uri="{05A4C25C-085E-4340-85A3-A5531E510DB2}">
      <thm15:themeFamily xmlns:thm15="http://schemas.microsoft.com/office/thememl/2012/main" name="ES Theme" id="{CA97371A-03D3-4B1D-BCE3-48390699BC84}" vid="{6D67B392-D226-40BA-836F-E08FCFE6E03C}"/>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eversource.com/content/business/save-money-energy/clean-energy-options/electric-vehicles/business-ev-charging-rebates/massachusetts-ev-charging-rebates-proce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N69"/>
  <sheetViews>
    <sheetView showGridLines="0" tabSelected="1" zoomScale="70" zoomScaleNormal="70" workbookViewId="0">
      <selection activeCell="L12" sqref="L12"/>
    </sheetView>
  </sheetViews>
  <sheetFormatPr defaultColWidth="8.875" defaultRowHeight="33.950000000000003" customHeight="1" x14ac:dyDescent="0.2"/>
  <cols>
    <col min="1" max="1" width="2.625" style="89" customWidth="1"/>
    <col min="2" max="2" width="49.75" style="89" customWidth="1"/>
    <col min="3" max="3" width="39.5" style="89" customWidth="1"/>
    <col min="4" max="4" width="17.875" style="122" bestFit="1" customWidth="1"/>
    <col min="5" max="6" width="16.875" style="89" customWidth="1"/>
    <col min="7" max="7" width="18.375" style="122" customWidth="1"/>
    <col min="8" max="8" width="18.375" style="89" customWidth="1"/>
    <col min="9" max="9" width="21.25" style="89" bestFit="1" customWidth="1"/>
    <col min="10" max="10" width="18.375" style="89" customWidth="1"/>
    <col min="11" max="11" width="18.875" style="89" customWidth="1"/>
    <col min="12" max="12" width="30.5" style="88" customWidth="1"/>
    <col min="13" max="13" width="12.875" style="89" customWidth="1"/>
    <col min="14" max="14" width="11.375" style="89" customWidth="1"/>
    <col min="15" max="16384" width="8.875" style="89"/>
  </cols>
  <sheetData>
    <row r="1" spans="1:14" ht="33.950000000000003" customHeight="1" thickBot="1" x14ac:dyDescent="0.25">
      <c r="B1" s="169" t="s">
        <v>140</v>
      </c>
      <c r="G1" s="169"/>
      <c r="H1" s="170"/>
      <c r="I1" s="169" t="s">
        <v>137</v>
      </c>
      <c r="J1" s="170" t="s">
        <v>141</v>
      </c>
      <c r="K1" s="170"/>
    </row>
    <row r="2" spans="1:14" s="167" customFormat="1" ht="21" customHeight="1" x14ac:dyDescent="0.2">
      <c r="A2" s="168"/>
      <c r="B2" s="180" t="s">
        <v>0</v>
      </c>
      <c r="C2" s="181"/>
      <c r="D2" s="181"/>
      <c r="E2" s="181"/>
      <c r="F2" s="181"/>
      <c r="G2" s="181"/>
      <c r="H2" s="181"/>
      <c r="I2" s="181"/>
      <c r="J2" s="182"/>
      <c r="K2" s="89"/>
      <c r="L2" s="88"/>
      <c r="M2" s="165"/>
      <c r="N2" s="89"/>
    </row>
    <row r="3" spans="1:14" s="167" customFormat="1" ht="20.45" customHeight="1" x14ac:dyDescent="0.2">
      <c r="A3" s="168"/>
      <c r="B3" s="29" t="s">
        <v>1</v>
      </c>
      <c r="C3" s="183" t="s">
        <v>2</v>
      </c>
      <c r="D3" s="186"/>
      <c r="E3" s="183" t="s">
        <v>3</v>
      </c>
      <c r="F3" s="184"/>
      <c r="G3" s="186"/>
      <c r="H3" s="183" t="s">
        <v>4</v>
      </c>
      <c r="I3" s="184"/>
      <c r="J3" s="185"/>
      <c r="K3" s="89"/>
      <c r="L3" s="88"/>
      <c r="M3" s="165"/>
      <c r="N3" s="89"/>
    </row>
    <row r="4" spans="1:14" s="167" customFormat="1" ht="20.45" customHeight="1" x14ac:dyDescent="0.2">
      <c r="A4" s="168"/>
      <c r="B4" s="43"/>
      <c r="C4" s="25" t="s">
        <v>5</v>
      </c>
      <c r="D4" s="44"/>
      <c r="E4" s="24" t="s">
        <v>6</v>
      </c>
      <c r="F4" s="187"/>
      <c r="G4" s="188"/>
      <c r="H4" s="32" t="s">
        <v>6</v>
      </c>
      <c r="I4" s="187"/>
      <c r="J4" s="189"/>
      <c r="K4" s="89"/>
      <c r="L4" s="88"/>
      <c r="M4" s="165"/>
      <c r="N4" s="89"/>
    </row>
    <row r="5" spans="1:14" ht="20.45" customHeight="1" x14ac:dyDescent="0.2">
      <c r="B5" s="29" t="s">
        <v>7</v>
      </c>
      <c r="C5" s="25" t="s">
        <v>8</v>
      </c>
      <c r="D5" s="44"/>
      <c r="E5" s="30" t="s">
        <v>9</v>
      </c>
      <c r="F5" s="187"/>
      <c r="G5" s="188"/>
      <c r="H5" s="30" t="s">
        <v>9</v>
      </c>
      <c r="I5" s="187"/>
      <c r="J5" s="189"/>
      <c r="M5" s="165"/>
    </row>
    <row r="6" spans="1:14" ht="20.45" customHeight="1" x14ac:dyDescent="0.2">
      <c r="B6" s="45"/>
      <c r="C6" s="40" t="s">
        <v>10</v>
      </c>
      <c r="D6" s="44" t="s">
        <v>11</v>
      </c>
      <c r="E6" s="41" t="s">
        <v>12</v>
      </c>
      <c r="F6" s="187"/>
      <c r="G6" s="188"/>
      <c r="H6" s="41" t="s">
        <v>12</v>
      </c>
      <c r="I6" s="187"/>
      <c r="J6" s="189"/>
      <c r="M6" s="165"/>
    </row>
    <row r="7" spans="1:14" ht="20.45" customHeight="1" thickBot="1" x14ac:dyDescent="0.25">
      <c r="B7" s="166"/>
      <c r="C7" s="38" t="s">
        <v>13</v>
      </c>
      <c r="D7" s="46"/>
      <c r="E7" s="38" t="s">
        <v>14</v>
      </c>
      <c r="F7" s="190"/>
      <c r="G7" s="190"/>
      <c r="H7" s="39" t="s">
        <v>14</v>
      </c>
      <c r="I7" s="190"/>
      <c r="J7" s="191"/>
      <c r="M7" s="165"/>
    </row>
    <row r="8" spans="1:14" ht="38.25" customHeight="1" x14ac:dyDescent="0.2">
      <c r="B8" s="36" t="s">
        <v>139</v>
      </c>
      <c r="C8" s="37" t="s">
        <v>15</v>
      </c>
      <c r="D8" s="31" t="s">
        <v>16</v>
      </c>
      <c r="E8" s="31" t="s">
        <v>17</v>
      </c>
      <c r="F8" s="33" t="s">
        <v>18</v>
      </c>
      <c r="G8" s="33" t="s">
        <v>19</v>
      </c>
      <c r="H8" s="33" t="s">
        <v>20</v>
      </c>
      <c r="I8" s="34" t="s">
        <v>21</v>
      </c>
      <c r="J8" s="35" t="s">
        <v>22</v>
      </c>
      <c r="L8" s="89"/>
    </row>
    <row r="9" spans="1:14" ht="30" customHeight="1" x14ac:dyDescent="0.2">
      <c r="B9" s="135" t="s">
        <v>23</v>
      </c>
      <c r="C9" s="157"/>
      <c r="D9" s="158"/>
      <c r="E9" s="159"/>
      <c r="F9" s="160"/>
      <c r="G9" s="161"/>
      <c r="H9" s="162"/>
      <c r="I9" s="163"/>
      <c r="J9" s="164"/>
      <c r="L9" s="89"/>
    </row>
    <row r="10" spans="1:14" ht="30" customHeight="1" x14ac:dyDescent="0.2">
      <c r="B10" s="126" t="s">
        <v>24</v>
      </c>
      <c r="C10" s="47"/>
      <c r="D10" s="155" t="s">
        <v>25</v>
      </c>
      <c r="E10" s="156"/>
      <c r="F10" s="123"/>
      <c r="G10" s="171"/>
      <c r="H10" s="171"/>
      <c r="I10" s="48"/>
      <c r="J10" s="5">
        <f>SimpleInvoice[[#This Row],[Material Total]]+SimpleInvoice[[#This Row],[Labor Total]]</f>
        <v>0</v>
      </c>
      <c r="L10" s="89"/>
    </row>
    <row r="11" spans="1:14" ht="30" customHeight="1" x14ac:dyDescent="0.2">
      <c r="B11" s="126" t="s">
        <v>26</v>
      </c>
      <c r="C11" s="47"/>
      <c r="D11" s="155" t="s">
        <v>25</v>
      </c>
      <c r="E11" s="156"/>
      <c r="F11" s="123"/>
      <c r="G11" s="171"/>
      <c r="H11" s="171"/>
      <c r="I11" s="48"/>
      <c r="J11" s="5">
        <f>SimpleInvoice[[#This Row],[Material Total]]+SimpleInvoice[[#This Row],[Labor Total]]</f>
        <v>0</v>
      </c>
      <c r="L11" s="89"/>
    </row>
    <row r="12" spans="1:14" ht="30" customHeight="1" x14ac:dyDescent="0.2">
      <c r="B12" s="135" t="s">
        <v>27</v>
      </c>
      <c r="C12" s="136"/>
      <c r="D12" s="137"/>
      <c r="E12" s="136"/>
      <c r="F12" s="136"/>
      <c r="G12" s="138"/>
      <c r="H12" s="139"/>
      <c r="I12" s="139"/>
      <c r="J12" s="154"/>
      <c r="K12" s="88"/>
      <c r="L12" s="89"/>
    </row>
    <row r="13" spans="1:14" ht="30" customHeight="1" x14ac:dyDescent="0.2">
      <c r="B13" s="126" t="s">
        <v>28</v>
      </c>
      <c r="C13" s="47"/>
      <c r="D13" s="144" t="s">
        <v>29</v>
      </c>
      <c r="E13" s="171"/>
      <c r="F13" s="171"/>
      <c r="G13" s="1">
        <f>SimpleInvoice[[#This Row],[Material Qty]]*SimpleInvoice[[#This Row],[Material Unit Price]]</f>
        <v>0</v>
      </c>
      <c r="H13" s="171"/>
      <c r="I13" s="49"/>
      <c r="J13" s="7">
        <f>SimpleInvoice[[#This Row],[Material Total]]+SimpleInvoice[[#This Row],[Labor Total]]</f>
        <v>0</v>
      </c>
      <c r="K13" s="88"/>
      <c r="L13" s="89"/>
    </row>
    <row r="14" spans="1:14" ht="30" customHeight="1" x14ac:dyDescent="0.2">
      <c r="B14" s="126" t="s">
        <v>30</v>
      </c>
      <c r="C14" s="47"/>
      <c r="D14" s="144" t="s">
        <v>29</v>
      </c>
      <c r="E14" s="171"/>
      <c r="F14" s="171"/>
      <c r="G14" s="1">
        <f>SimpleInvoice[[#This Row],[Material Qty]]*SimpleInvoice[[#This Row],[Material Unit Price]]</f>
        <v>0</v>
      </c>
      <c r="H14" s="171"/>
      <c r="I14" s="49"/>
      <c r="J14" s="7">
        <f>SimpleInvoice[[#This Row],[Material Total]]+SimpleInvoice[[#This Row],[Labor Total]]</f>
        <v>0</v>
      </c>
      <c r="K14" s="88"/>
      <c r="L14" s="89"/>
    </row>
    <row r="15" spans="1:14" ht="30" customHeight="1" x14ac:dyDescent="0.2">
      <c r="B15" s="126" t="s">
        <v>31</v>
      </c>
      <c r="C15" s="47"/>
      <c r="D15" s="144" t="s">
        <v>29</v>
      </c>
      <c r="E15" s="171"/>
      <c r="F15" s="171"/>
      <c r="G15" s="1">
        <f>SimpleInvoice[[#This Row],[Material Qty]]*SimpleInvoice[[#This Row],[Material Unit Price]]</f>
        <v>0</v>
      </c>
      <c r="H15" s="171"/>
      <c r="I15" s="49"/>
      <c r="J15" s="7">
        <f>SimpleInvoice[[#This Row],[Material Total]]+SimpleInvoice[[#This Row],[Labor Total]]</f>
        <v>0</v>
      </c>
      <c r="K15" s="88"/>
      <c r="L15" s="89"/>
    </row>
    <row r="16" spans="1:14" ht="30" customHeight="1" x14ac:dyDescent="0.2">
      <c r="B16" s="126" t="s">
        <v>32</v>
      </c>
      <c r="C16" s="47"/>
      <c r="D16" s="144" t="s">
        <v>29</v>
      </c>
      <c r="E16" s="171"/>
      <c r="F16" s="171"/>
      <c r="G16" s="1">
        <f>SimpleInvoice[[#This Row],[Material Qty]]*SimpleInvoice[[#This Row],[Material Unit Price]]</f>
        <v>0</v>
      </c>
      <c r="H16" s="171"/>
      <c r="I16" s="49"/>
      <c r="J16" s="7">
        <f>SimpleInvoice[[#This Row],[Material Total]]+SimpleInvoice[[#This Row],[Labor Total]]</f>
        <v>0</v>
      </c>
      <c r="K16" s="88"/>
      <c r="L16" s="89"/>
    </row>
    <row r="17" spans="2:12" ht="30" customHeight="1" x14ac:dyDescent="0.2">
      <c r="B17" s="126" t="s">
        <v>33</v>
      </c>
      <c r="C17" s="47"/>
      <c r="D17" s="144" t="s">
        <v>34</v>
      </c>
      <c r="E17" s="171"/>
      <c r="F17" s="171"/>
      <c r="G17" s="1">
        <f>SimpleInvoice[[#This Row],[Material Qty]]*SimpleInvoice[[#This Row],[Material Unit Price]]</f>
        <v>0</v>
      </c>
      <c r="H17" s="171"/>
      <c r="I17" s="49"/>
      <c r="J17" s="7">
        <f>SimpleInvoice[[#This Row],[Material Total]]+SimpleInvoice[[#This Row],[Labor Total]]</f>
        <v>0</v>
      </c>
      <c r="K17" s="88"/>
      <c r="L17" s="89"/>
    </row>
    <row r="18" spans="2:12" ht="30" customHeight="1" x14ac:dyDescent="0.2">
      <c r="B18" s="143" t="s">
        <v>35</v>
      </c>
      <c r="C18" s="47"/>
      <c r="D18" s="144" t="s">
        <v>34</v>
      </c>
      <c r="E18" s="171"/>
      <c r="F18" s="171"/>
      <c r="G18" s="76">
        <f>SimpleInvoice[[#This Row],[Material Qty]]*SimpleInvoice[[#This Row],[Material Unit Price]]</f>
        <v>0</v>
      </c>
      <c r="H18" s="171"/>
      <c r="I18" s="50"/>
      <c r="J18" s="7">
        <f>SimpleInvoice[[#This Row],[Material Total]]+SimpleInvoice[[#This Row],[Labor Total]]</f>
        <v>0</v>
      </c>
      <c r="K18" s="88"/>
      <c r="L18" s="89"/>
    </row>
    <row r="19" spans="2:12" ht="30" customHeight="1" x14ac:dyDescent="0.2">
      <c r="B19" s="143" t="s">
        <v>36</v>
      </c>
      <c r="C19" s="47"/>
      <c r="D19" s="144" t="s">
        <v>34</v>
      </c>
      <c r="E19" s="173"/>
      <c r="F19" s="171"/>
      <c r="G19" s="1">
        <f>SimpleInvoice[[#This Row],[Material Qty]]*SimpleInvoice[[#This Row],[Material Unit Price]]</f>
        <v>0</v>
      </c>
      <c r="H19" s="171"/>
      <c r="I19" s="50"/>
      <c r="J19" s="7">
        <f>SimpleInvoice[[#This Row],[Material Total]]+SimpleInvoice[[#This Row],[Labor Total]]</f>
        <v>0</v>
      </c>
      <c r="K19" s="88"/>
      <c r="L19" s="89"/>
    </row>
    <row r="20" spans="2:12" ht="30" customHeight="1" x14ac:dyDescent="0.2">
      <c r="B20" s="143" t="s">
        <v>37</v>
      </c>
      <c r="C20" s="47"/>
      <c r="D20" s="144" t="s">
        <v>34</v>
      </c>
      <c r="E20" s="171"/>
      <c r="F20" s="171"/>
      <c r="G20" s="76">
        <f>SimpleInvoice[[#This Row],[Material Qty]]*SimpleInvoice[[#This Row],[Material Unit Price]]</f>
        <v>0</v>
      </c>
      <c r="H20" s="171"/>
      <c r="I20" s="50"/>
      <c r="J20" s="7">
        <f>SimpleInvoice[[#This Row],[Material Total]]+SimpleInvoice[[#This Row],[Labor Total]]</f>
        <v>0</v>
      </c>
      <c r="K20" s="88"/>
      <c r="L20" s="89"/>
    </row>
    <row r="21" spans="2:12" ht="30" customHeight="1" x14ac:dyDescent="0.2">
      <c r="B21" s="143" t="s">
        <v>38</v>
      </c>
      <c r="C21" s="47"/>
      <c r="D21" s="144" t="s">
        <v>34</v>
      </c>
      <c r="E21" s="171"/>
      <c r="F21" s="171"/>
      <c r="G21" s="76">
        <f>SimpleInvoice[[#This Row],[Material Qty]]*SimpleInvoice[[#This Row],[Material Unit Price]]</f>
        <v>0</v>
      </c>
      <c r="H21" s="171"/>
      <c r="I21" s="50"/>
      <c r="J21" s="7">
        <f>SimpleInvoice[[#This Row],[Material Total]]+SimpleInvoice[[#This Row],[Labor Total]]</f>
        <v>0</v>
      </c>
      <c r="K21" s="88"/>
      <c r="L21" s="89"/>
    </row>
    <row r="22" spans="2:12" ht="30" customHeight="1" x14ac:dyDescent="0.2">
      <c r="B22" s="126" t="s">
        <v>39</v>
      </c>
      <c r="C22" s="47" t="s">
        <v>40</v>
      </c>
      <c r="D22" s="144" t="s">
        <v>34</v>
      </c>
      <c r="E22" s="171"/>
      <c r="F22" s="171"/>
      <c r="G22" s="76">
        <f>SimpleInvoice[[#This Row],[Material Qty]]*SimpleInvoice[[#This Row],[Material Unit Price]]</f>
        <v>0</v>
      </c>
      <c r="H22" s="171"/>
      <c r="I22" s="49"/>
      <c r="J22" s="7">
        <f>SimpleInvoice[[#This Row],[Material Total]]+SimpleInvoice[[#This Row],[Labor Total]]</f>
        <v>0</v>
      </c>
      <c r="K22" s="88"/>
      <c r="L22" s="89"/>
    </row>
    <row r="23" spans="2:12" ht="30" customHeight="1" x14ac:dyDescent="0.2">
      <c r="B23" s="143" t="s">
        <v>41</v>
      </c>
      <c r="C23" s="47" t="s">
        <v>40</v>
      </c>
      <c r="D23" s="144" t="s">
        <v>25</v>
      </c>
      <c r="E23" s="171"/>
      <c r="F23" s="171"/>
      <c r="G23" s="76">
        <f>SimpleInvoice[[#This Row],[Material Qty]]*SimpleInvoice[[#This Row],[Material Unit Price]]</f>
        <v>0</v>
      </c>
      <c r="H23" s="171"/>
      <c r="I23" s="49"/>
      <c r="J23" s="7">
        <f>SimpleInvoice[[#This Row],[Material Total]]+SimpleInvoice[[#This Row],[Labor Total]]</f>
        <v>0</v>
      </c>
      <c r="K23" s="88"/>
      <c r="L23" s="89"/>
    </row>
    <row r="24" spans="2:12" ht="30" customHeight="1" x14ac:dyDescent="0.2">
      <c r="B24" s="143" t="s">
        <v>42</v>
      </c>
      <c r="C24" s="47" t="s">
        <v>40</v>
      </c>
      <c r="D24" s="144" t="s">
        <v>25</v>
      </c>
      <c r="E24" s="171"/>
      <c r="F24" s="171"/>
      <c r="G24" s="76">
        <f>SimpleInvoice[[#This Row],[Material Qty]]*SimpleInvoice[[#This Row],[Material Unit Price]]</f>
        <v>0</v>
      </c>
      <c r="H24" s="171"/>
      <c r="I24" s="49"/>
      <c r="J24" s="7">
        <f>SimpleInvoice[[#This Row],[Material Total]]+SimpleInvoice[[#This Row],[Labor Total]]</f>
        <v>0</v>
      </c>
      <c r="K24" s="88"/>
      <c r="L24" s="89"/>
    </row>
    <row r="25" spans="2:12" ht="30" customHeight="1" x14ac:dyDescent="0.2">
      <c r="B25" s="143" t="s">
        <v>43</v>
      </c>
      <c r="C25" s="47" t="s">
        <v>40</v>
      </c>
      <c r="D25" s="144" t="s">
        <v>25</v>
      </c>
      <c r="E25" s="171"/>
      <c r="F25" s="171"/>
      <c r="G25" s="76">
        <f>SimpleInvoice[[#This Row],[Material Qty]]*SimpleInvoice[[#This Row],[Material Unit Price]]</f>
        <v>0</v>
      </c>
      <c r="H25" s="171"/>
      <c r="I25" s="49"/>
      <c r="J25" s="7">
        <f>SimpleInvoice[[#This Row],[Material Total]]+SimpleInvoice[[#This Row],[Labor Total]]</f>
        <v>0</v>
      </c>
      <c r="K25" s="88"/>
      <c r="L25" s="89"/>
    </row>
    <row r="26" spans="2:12" ht="30" customHeight="1" x14ac:dyDescent="0.2">
      <c r="B26" s="135" t="s">
        <v>44</v>
      </c>
      <c r="C26" s="136"/>
      <c r="D26" s="137"/>
      <c r="E26" s="136"/>
      <c r="F26" s="136"/>
      <c r="G26" s="138"/>
      <c r="H26" s="152"/>
      <c r="I26" s="152"/>
      <c r="J26" s="153"/>
      <c r="K26" s="88"/>
      <c r="L26" s="89"/>
    </row>
    <row r="27" spans="2:12" ht="30" customHeight="1" x14ac:dyDescent="0.2">
      <c r="B27" s="126" t="s">
        <v>45</v>
      </c>
      <c r="C27" s="47"/>
      <c r="D27" s="144" t="s">
        <v>29</v>
      </c>
      <c r="E27" s="171"/>
      <c r="F27" s="171"/>
      <c r="G27" s="1">
        <f>SimpleInvoice[[#This Row],[Material Qty]]*SimpleInvoice[[#This Row],[Material Unit Price]]</f>
        <v>0</v>
      </c>
      <c r="H27" s="171"/>
      <c r="I27" s="49"/>
      <c r="J27" s="7">
        <f>SimpleInvoice[[#This Row],[Material Total]]+SimpleInvoice[[#This Row],[Labor Total]]</f>
        <v>0</v>
      </c>
      <c r="K27" s="88"/>
      <c r="L27" s="89"/>
    </row>
    <row r="28" spans="2:12" ht="30" customHeight="1" x14ac:dyDescent="0.2">
      <c r="B28" s="126" t="s">
        <v>46</v>
      </c>
      <c r="C28" s="47"/>
      <c r="D28" s="144" t="s">
        <v>29</v>
      </c>
      <c r="E28" s="171"/>
      <c r="F28" s="171"/>
      <c r="G28" s="1">
        <f>SimpleInvoice[[#This Row],[Material Qty]]*SimpleInvoice[[#This Row],[Material Unit Price]]</f>
        <v>0</v>
      </c>
      <c r="H28" s="171"/>
      <c r="I28" s="49"/>
      <c r="J28" s="7">
        <f>SimpleInvoice[[#This Row],[Material Total]]+SimpleInvoice[[#This Row],[Labor Total]]</f>
        <v>0</v>
      </c>
      <c r="K28" s="88"/>
      <c r="L28" s="89"/>
    </row>
    <row r="29" spans="2:12" ht="30" customHeight="1" x14ac:dyDescent="0.2">
      <c r="B29" s="126" t="s">
        <v>47</v>
      </c>
      <c r="C29" s="47"/>
      <c r="D29" s="144" t="s">
        <v>29</v>
      </c>
      <c r="E29" s="171"/>
      <c r="F29" s="171"/>
      <c r="G29" s="2">
        <f>SimpleInvoice[[#This Row],[Material Qty]]*SimpleInvoice[[#This Row],[Material Unit Price]]</f>
        <v>0</v>
      </c>
      <c r="H29" s="171"/>
      <c r="I29" s="49"/>
      <c r="J29" s="7">
        <f>SimpleInvoice[[#This Row],[Material Total]]+SimpleInvoice[[#This Row],[Labor Total]]</f>
        <v>0</v>
      </c>
      <c r="K29" s="88"/>
      <c r="L29" s="89"/>
    </row>
    <row r="30" spans="2:12" ht="30" customHeight="1" x14ac:dyDescent="0.2">
      <c r="B30" s="135" t="s">
        <v>48</v>
      </c>
      <c r="C30" s="136"/>
      <c r="D30" s="137"/>
      <c r="E30" s="136"/>
      <c r="F30" s="136"/>
      <c r="G30" s="138"/>
      <c r="H30" s="152"/>
      <c r="I30" s="152"/>
      <c r="J30" s="153"/>
      <c r="K30" s="88"/>
      <c r="L30" s="89"/>
    </row>
    <row r="31" spans="2:12" s="125" customFormat="1" ht="30" customHeight="1" x14ac:dyDescent="0.2">
      <c r="B31" s="132" t="s">
        <v>49</v>
      </c>
      <c r="C31" s="51" t="s">
        <v>50</v>
      </c>
      <c r="D31" s="134" t="s">
        <v>34</v>
      </c>
      <c r="E31" s="171"/>
      <c r="F31" s="171"/>
      <c r="G31" s="3">
        <f>SimpleInvoice[[#This Row],[Material Qty]]*SimpleInvoice[[#This Row],[Material Unit Price]]</f>
        <v>0</v>
      </c>
      <c r="H31" s="123"/>
      <c r="I31" s="123"/>
      <c r="J31" s="8">
        <f>SimpleInvoice[[#This Row],[Material Total]]+SimpleInvoice[[#This Row],[Labor Total]]</f>
        <v>0</v>
      </c>
      <c r="K31" s="124"/>
    </row>
    <row r="32" spans="2:12" s="125" customFormat="1" ht="30" customHeight="1" x14ac:dyDescent="0.2">
      <c r="B32" s="132" t="s">
        <v>51</v>
      </c>
      <c r="C32" s="51" t="s">
        <v>50</v>
      </c>
      <c r="D32" s="134" t="s">
        <v>34</v>
      </c>
      <c r="E32" s="171"/>
      <c r="F32" s="171"/>
      <c r="G32" s="3">
        <f>SimpleInvoice[[#This Row],[Material Qty]]*SimpleInvoice[[#This Row],[Material Unit Price]]</f>
        <v>0</v>
      </c>
      <c r="H32" s="123"/>
      <c r="I32" s="123"/>
      <c r="J32" s="6">
        <f>SimpleInvoice[[#This Row],[Material Total]]+SimpleInvoice[[#This Row],[Labor Total]]</f>
        <v>0</v>
      </c>
      <c r="K32" s="124"/>
    </row>
    <row r="33" spans="2:12" s="125" customFormat="1" ht="30" customHeight="1" x14ac:dyDescent="0.2">
      <c r="B33" s="132" t="s">
        <v>52</v>
      </c>
      <c r="C33" s="133"/>
      <c r="D33" s="134" t="s">
        <v>34</v>
      </c>
      <c r="E33" s="171"/>
      <c r="F33" s="171"/>
      <c r="G33" s="3">
        <f>SimpleInvoice[[#This Row],[Material Qty]]*SimpleInvoice[[#This Row],[Material Unit Price]]</f>
        <v>0</v>
      </c>
      <c r="H33" s="171"/>
      <c r="I33" s="49"/>
      <c r="J33" s="6">
        <f>SimpleInvoice[[#This Row],[Material Total]]+SimpleInvoice[[#This Row],[Labor Total]]</f>
        <v>0</v>
      </c>
      <c r="K33" s="124"/>
    </row>
    <row r="34" spans="2:12" s="125" customFormat="1" ht="30" customHeight="1" x14ac:dyDescent="0.2">
      <c r="B34" s="132" t="s">
        <v>53</v>
      </c>
      <c r="C34" s="133"/>
      <c r="D34" s="134" t="s">
        <v>34</v>
      </c>
      <c r="E34" s="171"/>
      <c r="F34" s="171"/>
      <c r="G34" s="3">
        <f>SimpleInvoice[[#This Row],[Material Qty]]*SimpleInvoice[[#This Row],[Material Unit Price]]</f>
        <v>0</v>
      </c>
      <c r="H34" s="171"/>
      <c r="I34" s="50"/>
      <c r="J34" s="6">
        <f>SimpleInvoice[[#This Row],[Material Total]]+SimpleInvoice[[#This Row],[Labor Total]]</f>
        <v>0</v>
      </c>
      <c r="K34" s="124"/>
      <c r="L34" s="125" t="s">
        <v>138</v>
      </c>
    </row>
    <row r="35" spans="2:12" s="125" customFormat="1" ht="30" customHeight="1" x14ac:dyDescent="0.2">
      <c r="B35" s="151" t="s">
        <v>54</v>
      </c>
      <c r="C35" s="52" t="s">
        <v>40</v>
      </c>
      <c r="D35" s="150" t="s">
        <v>25</v>
      </c>
      <c r="E35" s="171"/>
      <c r="F35" s="171"/>
      <c r="G35" s="4">
        <f>SimpleInvoice[[#This Row],[Material Qty]]*SimpleInvoice[[#This Row],[Material Unit Price]]</f>
        <v>0</v>
      </c>
      <c r="H35" s="171"/>
      <c r="I35" s="53"/>
      <c r="J35" s="42">
        <f>SimpleInvoice[[#This Row],[Material Total]]+SimpleInvoice[[#This Row],[Labor Total]]</f>
        <v>0</v>
      </c>
      <c r="K35" s="124"/>
    </row>
    <row r="36" spans="2:12" s="125" customFormat="1" ht="30" customHeight="1" x14ac:dyDescent="0.2">
      <c r="B36" s="146" t="s">
        <v>55</v>
      </c>
      <c r="C36" s="147"/>
      <c r="D36" s="148"/>
      <c r="E36" s="147"/>
      <c r="F36" s="147"/>
      <c r="G36" s="149"/>
      <c r="H36" s="139"/>
      <c r="I36" s="139"/>
      <c r="J36" s="145"/>
      <c r="K36" s="124"/>
    </row>
    <row r="37" spans="2:12" s="125" customFormat="1" ht="30" customHeight="1" x14ac:dyDescent="0.2">
      <c r="B37" s="132" t="s">
        <v>56</v>
      </c>
      <c r="C37" s="51" t="s">
        <v>57</v>
      </c>
      <c r="D37" s="134" t="s">
        <v>34</v>
      </c>
      <c r="E37" s="171"/>
      <c r="F37" s="171"/>
      <c r="G37" s="3">
        <f>SimpleInvoice[[#This Row],[Material Qty]]*SimpleInvoice[[#This Row],[Material Unit Price]]</f>
        <v>0</v>
      </c>
      <c r="H37" s="123"/>
      <c r="I37" s="123"/>
      <c r="J37" s="6">
        <f>SimpleInvoice[[#This Row],[Material Total]]</f>
        <v>0</v>
      </c>
      <c r="K37" s="124"/>
    </row>
    <row r="38" spans="2:12" s="125" customFormat="1" ht="30" customHeight="1" x14ac:dyDescent="0.2">
      <c r="B38" s="135" t="s">
        <v>58</v>
      </c>
      <c r="C38" s="136"/>
      <c r="D38" s="137"/>
      <c r="E38" s="136"/>
      <c r="F38" s="136"/>
      <c r="G38" s="138"/>
      <c r="H38" s="139"/>
      <c r="I38" s="139"/>
      <c r="J38" s="145"/>
      <c r="K38" s="124"/>
    </row>
    <row r="39" spans="2:12" ht="30" customHeight="1" x14ac:dyDescent="0.2">
      <c r="B39" s="126" t="s">
        <v>59</v>
      </c>
      <c r="C39" s="133"/>
      <c r="D39" s="144" t="s">
        <v>29</v>
      </c>
      <c r="E39" s="171"/>
      <c r="F39" s="171"/>
      <c r="G39" s="3">
        <f>SimpleInvoice[[#This Row],[Material Qty]]*SimpleInvoice[[#This Row],[Material Unit Price]]</f>
        <v>0</v>
      </c>
      <c r="H39" s="171"/>
      <c r="I39" s="49"/>
      <c r="J39" s="3">
        <f>SimpleInvoice[[#This Row],[Material Total]]+SimpleInvoice[[#This Row],[Labor Total]]</f>
        <v>0</v>
      </c>
      <c r="K39" s="131"/>
      <c r="L39" s="89"/>
    </row>
    <row r="40" spans="2:12" ht="30" customHeight="1" x14ac:dyDescent="0.2">
      <c r="B40" s="126" t="s">
        <v>60</v>
      </c>
      <c r="C40" s="133"/>
      <c r="D40" s="144" t="s">
        <v>29</v>
      </c>
      <c r="E40" s="171"/>
      <c r="F40" s="171"/>
      <c r="G40" s="3">
        <f>SimpleInvoice[[#This Row],[Material Qty]]*SimpleInvoice[[#This Row],[Material Unit Price]]</f>
        <v>0</v>
      </c>
      <c r="H40" s="171"/>
      <c r="I40" s="49"/>
      <c r="J40" s="3">
        <f>SimpleInvoice[[#This Row],[Material Total]]+SimpleInvoice[[#This Row],[Labor Total]]</f>
        <v>0</v>
      </c>
      <c r="K40" s="131"/>
      <c r="L40" s="89"/>
    </row>
    <row r="41" spans="2:12" ht="30" customHeight="1" x14ac:dyDescent="0.2">
      <c r="B41" s="126" t="s">
        <v>61</v>
      </c>
      <c r="C41" s="133"/>
      <c r="D41" s="144" t="s">
        <v>29</v>
      </c>
      <c r="E41" s="171"/>
      <c r="F41" s="171"/>
      <c r="G41" s="3">
        <f>SimpleInvoice[[#This Row],[Material Qty]]*SimpleInvoice[[#This Row],[Material Unit Price]]</f>
        <v>0</v>
      </c>
      <c r="H41" s="171"/>
      <c r="I41" s="49"/>
      <c r="J41" s="3">
        <f>SimpleInvoice[[#This Row],[Material Total]]+SimpleInvoice[[#This Row],[Labor Total]]</f>
        <v>0</v>
      </c>
      <c r="K41" s="131"/>
      <c r="L41" s="89"/>
    </row>
    <row r="42" spans="2:12" ht="30" customHeight="1" x14ac:dyDescent="0.2">
      <c r="B42" s="126" t="s">
        <v>62</v>
      </c>
      <c r="C42" s="133"/>
      <c r="D42" s="144" t="s">
        <v>29</v>
      </c>
      <c r="E42" s="171"/>
      <c r="F42" s="171"/>
      <c r="G42" s="3">
        <f>SimpleInvoice[[#This Row],[Material Qty]]*SimpleInvoice[[#This Row],[Material Unit Price]]</f>
        <v>0</v>
      </c>
      <c r="H42" s="171"/>
      <c r="I42" s="49"/>
      <c r="J42" s="3">
        <f>SimpleInvoice[[#This Row],[Material Total]]+SimpleInvoice[[#This Row],[Labor Total]]</f>
        <v>0</v>
      </c>
      <c r="K42" s="131"/>
      <c r="L42" s="89"/>
    </row>
    <row r="43" spans="2:12" ht="30" customHeight="1" x14ac:dyDescent="0.2">
      <c r="B43" s="126" t="s">
        <v>63</v>
      </c>
      <c r="C43" s="133"/>
      <c r="D43" s="142" t="s">
        <v>34</v>
      </c>
      <c r="E43" s="171"/>
      <c r="F43" s="171"/>
      <c r="G43" s="3">
        <f>SimpleInvoice[[#This Row],[Material Qty]]*SimpleInvoice[[#This Row],[Material Unit Price]]</f>
        <v>0</v>
      </c>
      <c r="H43" s="171"/>
      <c r="I43" s="49"/>
      <c r="J43" s="3">
        <f>SimpleInvoice[[#This Row],[Material Total]]+SimpleInvoice[[#This Row],[Labor Total]]</f>
        <v>0</v>
      </c>
      <c r="K43" s="131"/>
      <c r="L43" s="89"/>
    </row>
    <row r="44" spans="2:12" ht="30" customHeight="1" x14ac:dyDescent="0.2">
      <c r="B44" s="126" t="s">
        <v>64</v>
      </c>
      <c r="C44" s="133"/>
      <c r="D44" s="142" t="s">
        <v>34</v>
      </c>
      <c r="E44" s="171"/>
      <c r="F44" s="171"/>
      <c r="G44" s="3">
        <f>SimpleInvoice[[#This Row],[Material Qty]]*SimpleInvoice[[#This Row],[Material Unit Price]]</f>
        <v>0</v>
      </c>
      <c r="H44" s="171"/>
      <c r="I44" s="49"/>
      <c r="J44" s="3">
        <f>SimpleInvoice[[#This Row],[Material Total]]+SimpleInvoice[[#This Row],[Labor Total]]</f>
        <v>0</v>
      </c>
      <c r="K44" s="131"/>
      <c r="L44" s="89"/>
    </row>
    <row r="45" spans="2:12" ht="30" customHeight="1" x14ac:dyDescent="0.2">
      <c r="B45" s="143" t="s">
        <v>65</v>
      </c>
      <c r="C45" s="133"/>
      <c r="D45" s="142" t="s">
        <v>34</v>
      </c>
      <c r="E45" s="171"/>
      <c r="F45" s="171"/>
      <c r="G45" s="3">
        <f>SimpleInvoice[[#This Row],[Material Qty]]*SimpleInvoice[[#This Row],[Material Unit Price]]</f>
        <v>0</v>
      </c>
      <c r="H45" s="171"/>
      <c r="I45" s="49"/>
      <c r="J45" s="3">
        <f>SimpleInvoice[[#This Row],[Material Total]]+SimpleInvoice[[#This Row],[Labor Total]]</f>
        <v>0</v>
      </c>
      <c r="K45" s="131"/>
      <c r="L45" s="89"/>
    </row>
    <row r="46" spans="2:12" ht="30" customHeight="1" x14ac:dyDescent="0.2">
      <c r="B46" s="143" t="s">
        <v>66</v>
      </c>
      <c r="C46" s="51" t="s">
        <v>40</v>
      </c>
      <c r="D46" s="142" t="s">
        <v>25</v>
      </c>
      <c r="E46" s="171"/>
      <c r="F46" s="171"/>
      <c r="G46" s="3">
        <f>SimpleInvoice[[#This Row],[Material Qty]]*SimpleInvoice[[#This Row],[Material Unit Price]]</f>
        <v>0</v>
      </c>
      <c r="H46" s="171"/>
      <c r="I46" s="49"/>
      <c r="J46" s="3">
        <f>SimpleInvoice[[#This Row],[Material Total]]+SimpleInvoice[[#This Row],[Labor Total]]</f>
        <v>0</v>
      </c>
      <c r="K46" s="131"/>
      <c r="L46" s="89"/>
    </row>
    <row r="47" spans="2:12" ht="30" customHeight="1" x14ac:dyDescent="0.2">
      <c r="B47" s="130" t="s">
        <v>67</v>
      </c>
      <c r="C47" s="141" t="s">
        <v>68</v>
      </c>
      <c r="D47" s="142" t="s">
        <v>34</v>
      </c>
      <c r="E47" s="171"/>
      <c r="F47" s="171"/>
      <c r="G47" s="3">
        <f>SimpleInvoice[[#This Row],[Material Qty]]*SimpleInvoice[[#This Row],[Material Unit Price]]</f>
        <v>0</v>
      </c>
      <c r="H47" s="171"/>
      <c r="I47" s="49"/>
      <c r="J47" s="3">
        <f>SimpleInvoice[[#This Row],[Material Total]]+SimpleInvoice[[#This Row],[Labor Total]]</f>
        <v>0</v>
      </c>
      <c r="K47" s="131"/>
      <c r="L47" s="89"/>
    </row>
    <row r="48" spans="2:12" ht="30" customHeight="1" x14ac:dyDescent="0.2">
      <c r="B48" s="130" t="s">
        <v>69</v>
      </c>
      <c r="C48" s="141" t="s">
        <v>68</v>
      </c>
      <c r="D48" s="142" t="s">
        <v>34</v>
      </c>
      <c r="E48" s="171"/>
      <c r="F48" s="171"/>
      <c r="G48" s="3">
        <f>SimpleInvoice[[#This Row],[Material Qty]]*SimpleInvoice[[#This Row],[Material Unit Price]]</f>
        <v>0</v>
      </c>
      <c r="H48" s="171"/>
      <c r="I48" s="49"/>
      <c r="J48" s="3">
        <f>SimpleInvoice[[#This Row],[Material Total]]+SimpleInvoice[[#This Row],[Labor Total]]</f>
        <v>0</v>
      </c>
      <c r="K48" s="131"/>
      <c r="L48" s="89"/>
    </row>
    <row r="49" spans="2:12" ht="30" customHeight="1" x14ac:dyDescent="0.2">
      <c r="B49" s="143" t="s">
        <v>70</v>
      </c>
      <c r="C49" s="127"/>
      <c r="D49" s="142" t="s">
        <v>25</v>
      </c>
      <c r="E49" s="171"/>
      <c r="F49" s="171"/>
      <c r="G49" s="3">
        <f>SimpleInvoice[[#This Row],[Material Qty]]*SimpleInvoice[[#This Row],[Material Unit Price]]</f>
        <v>0</v>
      </c>
      <c r="H49" s="171"/>
      <c r="I49" s="49"/>
      <c r="J49" s="3">
        <f>SimpleInvoice[[#This Row],[Material Total]]+SimpleInvoice[[#This Row],[Labor Total]]</f>
        <v>0</v>
      </c>
      <c r="K49" s="131"/>
      <c r="L49" s="89"/>
    </row>
    <row r="50" spans="2:12" ht="30" customHeight="1" x14ac:dyDescent="0.2">
      <c r="B50" s="135" t="s">
        <v>71</v>
      </c>
      <c r="C50" s="136"/>
      <c r="D50" s="137"/>
      <c r="E50" s="136"/>
      <c r="F50" s="136"/>
      <c r="G50" s="138"/>
      <c r="H50" s="139"/>
      <c r="I50" s="139"/>
      <c r="J50" s="140"/>
      <c r="K50" s="131"/>
      <c r="L50" s="89"/>
    </row>
    <row r="51" spans="2:12" ht="30" customHeight="1" x14ac:dyDescent="0.2">
      <c r="B51" s="132" t="s">
        <v>72</v>
      </c>
      <c r="C51" s="133" t="s">
        <v>68</v>
      </c>
      <c r="D51" s="134" t="s">
        <v>34</v>
      </c>
      <c r="E51" s="171"/>
      <c r="F51" s="171"/>
      <c r="G51" s="3">
        <f>SimpleInvoice[[#This Row],[Material Qty]]*SimpleInvoice[[#This Row],[Material Unit Price]]</f>
        <v>0</v>
      </c>
      <c r="H51" s="171"/>
      <c r="I51" s="49"/>
      <c r="J51" s="3">
        <f>SimpleInvoice[[#This Row],[Material Total]]+SimpleInvoice[[#This Row],[Labor Total]]</f>
        <v>0</v>
      </c>
      <c r="K51" s="131"/>
      <c r="L51" s="89"/>
    </row>
    <row r="52" spans="2:12" ht="30" customHeight="1" x14ac:dyDescent="0.2">
      <c r="B52" s="132" t="s">
        <v>73</v>
      </c>
      <c r="C52" s="133" t="s">
        <v>68</v>
      </c>
      <c r="D52" s="134" t="s">
        <v>34</v>
      </c>
      <c r="E52" s="171"/>
      <c r="F52" s="171"/>
      <c r="G52" s="3">
        <f>SimpleInvoice[[#This Row],[Material Qty]]*SimpleInvoice[[#This Row],[Material Unit Price]]</f>
        <v>0</v>
      </c>
      <c r="H52" s="171"/>
      <c r="I52" s="49"/>
      <c r="J52" s="3">
        <f>SimpleInvoice[[#This Row],[Material Total]]+SimpleInvoice[[#This Row],[Labor Total]]</f>
        <v>0</v>
      </c>
      <c r="K52" s="131"/>
      <c r="L52" s="89"/>
    </row>
    <row r="53" spans="2:12" ht="30" customHeight="1" x14ac:dyDescent="0.2">
      <c r="B53" s="132" t="s">
        <v>74</v>
      </c>
      <c r="C53" s="133" t="s">
        <v>68</v>
      </c>
      <c r="D53" s="134" t="s">
        <v>34</v>
      </c>
      <c r="E53" s="171"/>
      <c r="F53" s="171"/>
      <c r="G53" s="3">
        <f>SimpleInvoice[[#This Row],[Material Qty]]*SimpleInvoice[[#This Row],[Material Unit Price]]</f>
        <v>0</v>
      </c>
      <c r="H53" s="171"/>
      <c r="I53" s="49"/>
      <c r="J53" s="3">
        <f>SimpleInvoice[[#This Row],[Material Total]]+SimpleInvoice[[#This Row],[Labor Total]]</f>
        <v>0</v>
      </c>
      <c r="K53" s="131"/>
      <c r="L53" s="89"/>
    </row>
    <row r="54" spans="2:12" ht="30" customHeight="1" x14ac:dyDescent="0.2">
      <c r="B54" s="132" t="s">
        <v>75</v>
      </c>
      <c r="C54" s="133" t="s">
        <v>68</v>
      </c>
      <c r="D54" s="134" t="s">
        <v>34</v>
      </c>
      <c r="E54" s="171"/>
      <c r="F54" s="171"/>
      <c r="G54" s="3">
        <f>SimpleInvoice[[#This Row],[Material Qty]]*SimpleInvoice[[#This Row],[Material Unit Price]]</f>
        <v>0</v>
      </c>
      <c r="H54" s="171"/>
      <c r="I54" s="123"/>
      <c r="J54" s="3">
        <f>SimpleInvoice[[#This Row],[Material Total]]+SimpleInvoice[[#This Row],[Labor Total]]</f>
        <v>0</v>
      </c>
      <c r="K54" s="131"/>
      <c r="L54" s="89"/>
    </row>
    <row r="55" spans="2:12" ht="30" customHeight="1" x14ac:dyDescent="0.2">
      <c r="B55" s="130" t="s">
        <v>43</v>
      </c>
      <c r="C55" s="51" t="s">
        <v>40</v>
      </c>
      <c r="D55" s="108" t="s">
        <v>25</v>
      </c>
      <c r="E55" s="171"/>
      <c r="F55" s="171"/>
      <c r="G55" s="3">
        <f>SimpleInvoice[[#This Row],[Material Qty]]*SimpleInvoice[[#This Row],[Material Unit Price]]</f>
        <v>0</v>
      </c>
      <c r="H55" s="172"/>
      <c r="I55" s="129"/>
      <c r="J55" s="10">
        <f>SimpleInvoice[[#This Row],[Material Total]]+SimpleInvoice[[#This Row],[Labor Total]]</f>
        <v>0</v>
      </c>
      <c r="K55" s="88"/>
      <c r="L55" s="89"/>
    </row>
    <row r="56" spans="2:12" s="125" customFormat="1" ht="30" customHeight="1" thickBot="1" x14ac:dyDescent="0.25">
      <c r="B56" s="126" t="s">
        <v>76</v>
      </c>
      <c r="C56" s="127"/>
      <c r="D56" s="128" t="s">
        <v>25</v>
      </c>
      <c r="E56" s="171"/>
      <c r="F56" s="171"/>
      <c r="G56" s="3">
        <f>SimpleInvoice[[#This Row],[Material Qty]]*SimpleInvoice[[#This Row],[Material Unit Price]]</f>
        <v>0</v>
      </c>
      <c r="H56" s="172"/>
      <c r="I56" s="123"/>
      <c r="J56" s="9">
        <f>SimpleInvoice[[#This Row],[Material Total]]+SimpleInvoice[[#This Row],[Labor Total]]</f>
        <v>0</v>
      </c>
      <c r="K56" s="124"/>
    </row>
    <row r="57" spans="2:12" ht="30" customHeight="1" x14ac:dyDescent="0.2">
      <c r="B57" s="80"/>
      <c r="C57" s="77" t="s">
        <v>77</v>
      </c>
      <c r="D57" s="81"/>
      <c r="E57" s="82"/>
      <c r="F57" s="83" t="s">
        <v>68</v>
      </c>
      <c r="G57" s="84"/>
      <c r="H57" s="85"/>
      <c r="I57" s="86"/>
      <c r="J57" s="87">
        <f>SUM(J10:J11,J13:J25)</f>
        <v>0</v>
      </c>
      <c r="K57" s="88"/>
      <c r="L57" s="89"/>
    </row>
    <row r="58" spans="2:12" ht="30" customHeight="1" x14ac:dyDescent="0.2">
      <c r="B58" s="90"/>
      <c r="C58" s="91" t="s">
        <v>78</v>
      </c>
      <c r="D58" s="92"/>
      <c r="E58" s="93"/>
      <c r="F58" s="94"/>
      <c r="G58" s="95"/>
      <c r="H58" s="96"/>
      <c r="I58" s="97"/>
      <c r="J58" s="98">
        <f>SUM(J27:J29)</f>
        <v>0</v>
      </c>
      <c r="K58" s="88"/>
      <c r="L58" s="89"/>
    </row>
    <row r="59" spans="2:12" ht="30" customHeight="1" x14ac:dyDescent="0.2">
      <c r="B59" s="90"/>
      <c r="C59" s="78" t="s">
        <v>79</v>
      </c>
      <c r="D59" s="99"/>
      <c r="E59" s="100"/>
      <c r="F59" s="101" t="s">
        <v>68</v>
      </c>
      <c r="G59" s="102"/>
      <c r="H59" s="103"/>
      <c r="I59" s="86"/>
      <c r="J59" s="87">
        <f>SUM(J31:J35)</f>
        <v>0</v>
      </c>
      <c r="K59" s="88"/>
      <c r="L59" s="89"/>
    </row>
    <row r="60" spans="2:12" ht="30" customHeight="1" x14ac:dyDescent="0.2">
      <c r="B60" s="90"/>
      <c r="C60" s="104" t="s">
        <v>80</v>
      </c>
      <c r="D60" s="105"/>
      <c r="E60" s="106"/>
      <c r="F60" s="107" t="s">
        <v>68</v>
      </c>
      <c r="G60" s="108"/>
      <c r="H60" s="96"/>
      <c r="I60" s="97"/>
      <c r="J60" s="98">
        <f>J37</f>
        <v>0</v>
      </c>
      <c r="K60" s="88"/>
      <c r="L60" s="89"/>
    </row>
    <row r="61" spans="2:12" ht="30" customHeight="1" x14ac:dyDescent="0.2">
      <c r="B61" s="90"/>
      <c r="C61" s="79" t="s">
        <v>81</v>
      </c>
      <c r="D61" s="99"/>
      <c r="E61" s="100"/>
      <c r="F61" s="101" t="s">
        <v>68</v>
      </c>
      <c r="G61" s="102"/>
      <c r="H61" s="103"/>
      <c r="I61" s="86"/>
      <c r="J61" s="87">
        <f>SUM(J57:J60)</f>
        <v>0</v>
      </c>
      <c r="K61" s="88"/>
      <c r="L61" s="89"/>
    </row>
    <row r="62" spans="2:12" ht="30" customHeight="1" x14ac:dyDescent="0.2">
      <c r="B62" s="90"/>
      <c r="C62" s="109" t="s">
        <v>82</v>
      </c>
      <c r="D62" s="105"/>
      <c r="E62" s="106"/>
      <c r="F62" s="107" t="s">
        <v>68</v>
      </c>
      <c r="G62" s="108"/>
      <c r="H62" s="96"/>
      <c r="I62" s="97"/>
      <c r="J62" s="98">
        <f>SUM(J39:J49,J51:J56)</f>
        <v>0</v>
      </c>
      <c r="K62" s="88"/>
      <c r="L62" s="89"/>
    </row>
    <row r="63" spans="2:12" ht="18.600000000000001" customHeight="1" thickBot="1" x14ac:dyDescent="0.25">
      <c r="B63" s="110"/>
      <c r="C63" s="111"/>
      <c r="D63" s="112"/>
      <c r="E63" s="113"/>
      <c r="F63" s="113"/>
      <c r="G63" s="112"/>
      <c r="H63" s="113"/>
      <c r="I63" s="113"/>
      <c r="J63" s="114"/>
      <c r="L63" s="89"/>
    </row>
    <row r="64" spans="2:12" ht="25.5" customHeight="1" thickBot="1" x14ac:dyDescent="0.25">
      <c r="B64" s="115"/>
      <c r="C64" s="116" t="s">
        <v>83</v>
      </c>
      <c r="D64" s="117"/>
      <c r="E64" s="117"/>
      <c r="F64" s="117"/>
      <c r="G64" s="118"/>
      <c r="H64" s="117"/>
      <c r="I64" s="117"/>
      <c r="J64" s="119">
        <f>SUM(J61:J62)</f>
        <v>0</v>
      </c>
      <c r="K64" s="120"/>
      <c r="L64" s="89"/>
    </row>
    <row r="65" spans="2:12" ht="46.7" customHeight="1" thickBot="1" x14ac:dyDescent="0.25">
      <c r="B65" s="177" t="s">
        <v>84</v>
      </c>
      <c r="C65" s="192"/>
      <c r="D65" s="192"/>
      <c r="E65" s="192"/>
      <c r="F65" s="192"/>
      <c r="G65" s="192"/>
      <c r="H65" s="192"/>
      <c r="I65" s="192"/>
      <c r="J65" s="193"/>
      <c r="L65" s="89"/>
    </row>
    <row r="66" spans="2:12" ht="46.7" customHeight="1" x14ac:dyDescent="0.2">
      <c r="B66" s="177" t="s">
        <v>85</v>
      </c>
      <c r="C66" s="178"/>
      <c r="D66" s="178"/>
      <c r="E66" s="178"/>
      <c r="F66" s="178"/>
      <c r="G66" s="178"/>
      <c r="H66" s="178"/>
      <c r="I66" s="178"/>
      <c r="J66" s="179"/>
      <c r="L66" s="89"/>
    </row>
    <row r="67" spans="2:12" ht="25.7" customHeight="1" x14ac:dyDescent="0.2">
      <c r="B67" s="174" t="s">
        <v>86</v>
      </c>
      <c r="C67" s="175"/>
      <c r="D67" s="175"/>
      <c r="E67" s="175"/>
      <c r="F67" s="175"/>
      <c r="G67" s="175"/>
      <c r="H67" s="175"/>
      <c r="I67" s="175"/>
      <c r="J67" s="176"/>
    </row>
    <row r="68" spans="2:12" ht="25.7" customHeight="1" x14ac:dyDescent="0.2">
      <c r="B68" s="174" t="s">
        <v>87</v>
      </c>
      <c r="C68" s="175"/>
      <c r="D68" s="175"/>
      <c r="E68" s="175"/>
      <c r="F68" s="175"/>
      <c r="G68" s="175"/>
      <c r="H68" s="175"/>
      <c r="I68" s="175"/>
      <c r="J68" s="176"/>
    </row>
    <row r="69" spans="2:12" ht="33.950000000000003" customHeight="1" x14ac:dyDescent="0.2">
      <c r="B69" s="121"/>
    </row>
  </sheetData>
  <sheetProtection algorithmName="SHA-512" hashValue="3XEQqiKQIraMmLvnY/y+PaflYPBdAqSXwvOphSIGvwKquCDC0sFxDld55gj4blEVnIRtThZ3iZbKW6soVaeQEg==" saltValue="DvkUjR1O8Q6CZVtP0UFxEQ==" spinCount="100000" sheet="1" insertRows="0"/>
  <mergeCells count="16">
    <mergeCell ref="B67:J67"/>
    <mergeCell ref="B68:J68"/>
    <mergeCell ref="B66:J66"/>
    <mergeCell ref="B2:J2"/>
    <mergeCell ref="H3:J3"/>
    <mergeCell ref="E3:G3"/>
    <mergeCell ref="C3:D3"/>
    <mergeCell ref="F4:G4"/>
    <mergeCell ref="I4:J4"/>
    <mergeCell ref="I5:J5"/>
    <mergeCell ref="F5:G5"/>
    <mergeCell ref="F6:G6"/>
    <mergeCell ref="I6:J6"/>
    <mergeCell ref="F7:G7"/>
    <mergeCell ref="I7:J7"/>
    <mergeCell ref="B65:J65"/>
  </mergeCells>
  <phoneticPr fontId="3" type="noConversion"/>
  <dataValidations xWindow="760" yWindow="637" count="14">
    <dataValidation allowBlank="1" showErrorMessage="1" prompt="Enter Quantity in this column under this heading" sqref="D8:E11" xr:uid="{00000000-0002-0000-0000-000009000000}"/>
    <dataValidation allowBlank="1" showErrorMessage="1" prompt="Enter Item number in this column under this heading" sqref="B8" xr:uid="{00000000-0002-0000-0000-00000B000000}"/>
    <dataValidation allowBlank="1" showErrorMessage="1" prompt="Enter company City, State, &amp; Zip Code in this cell" sqref="C5:C6" xr:uid="{00000000-0002-0000-0000-000016000000}"/>
    <dataValidation allowBlank="1" showInputMessage="1" showErrorMessage="1" prompt="Create a Simple Invoice in this worksheet" sqref="A2:A4" xr:uid="{00000000-0002-0000-0000-000018000000}"/>
    <dataValidation allowBlank="1" showErrorMessage="1" prompt="Enter company Street Address in this cell" sqref="C4" xr:uid="{00000000-0002-0000-0000-000019000000}"/>
    <dataValidation allowBlank="1" showErrorMessage="1" sqref="C5:C6 E5 H5" xr:uid="{617F1781-BD81-400A-9483-296E23968BF4}"/>
    <dataValidation allowBlank="1" showErrorMessage="1" prompt="Enter Description in this column under this heading" sqref="C8:C11" xr:uid="{00000000-0002-0000-0000-00000A000000}"/>
    <dataValidation allowBlank="1" showErrorMessage="1" prompt="Enter Invoice Date in the cell at right" sqref="B3 C4 B5" xr:uid="{F323D61C-E2CC-4ECF-8368-364D6C998CCB}"/>
    <dataValidation allowBlank="1" showErrorMessage="1" prompt="Modify Company Name in this cell. Enter company address, phone, fax,  email &amp; website in cells B2 to G3. Enter Billing details in cells B4 to G7" sqref="E3" xr:uid="{00000000-0002-0000-0000-000017000000}"/>
    <dataValidation allowBlank="1" showErrorMessage="1" prompt="Enter Unit Price in this column under this heading" sqref="I56 H31:I32 H37:I37 I54 J8:J11 F8:F11 G8:I9" xr:uid="{00000000-0002-0000-0000-000008000000}"/>
    <dataValidation type="textLength" allowBlank="1" showInputMessage="1" showErrorMessage="1" errorTitle="Incorrect ID format" error="The entry must be in the format ESMAEV-##### or HTMAEV-#####" promptTitle="Eversource Project #" prompt="Enter your Eversource MA Powerclerk Project ID. This is a 12 character ID that will need to be entered in the format of ESMAEV-##### or HTMAEV-#####." sqref="B4" xr:uid="{A0743B97-15B1-495D-9FE9-34041F19EDB3}">
      <formula1>12</formula1>
      <formula2>12</formula2>
    </dataValidation>
    <dataValidation type="date" allowBlank="1" showInputMessage="1" showErrorMessage="1" errorTitle="Invalid Entry" error="Date has not been entered in correct format." promptTitle="Date" prompt="Enter the date this pricing matrix has been completed." sqref="B6" xr:uid="{7BF336F3-A590-4BEC-A54A-EE073EB2BD93}">
      <formula1>44923</formula1>
      <formula2>46387</formula2>
    </dataValidation>
    <dataValidation type="list" allowBlank="1" showErrorMessage="1" prompt="Enter Unit Price in this column under this heading" sqref="I10:I11 I13:I25 I27:I29 I33:I35 I39:I49 I51:I53 I55" xr:uid="{C35B3369-7D80-403B-A94D-1B16E0071093}">
      <formula1>"Yes, No"</formula1>
    </dataValidation>
    <dataValidation type="custom" allowBlank="1" showInputMessage="1" showErrorMessage="1" errorTitle="TWO DECIMAL LIMIT" error="YOU HAVE ENTERED A NUMBER WITH MORE THAN TWO DECIMAL PLACES. PLEASE ENTER A VALUE ROUNDED TO TWO DECIMAL PLACES." promptTitle="TWO DECIMAL LIMIT" prompt="THIS CELL ONLY ACCEPTS NUMBERS WITH UP TO TWO DECIMAL PLACES. PLEASE ROUND YOUR ENTRY ACCORDINGLY." sqref="H13:H25 H27:H29 E37:F37 H39:H49 H51:H54 E51:F56 E39:F49 E31:F35 H33:H35 E27:F29 G10:H11 E18 E13:F17 E20:F25 F18:F19" xr:uid="{F0E8F5A5-4688-4584-AF3C-4EE748E84376}">
      <formula1>ABS(E10-ROUND(E10,2))=0</formula1>
    </dataValidation>
  </dataValidations>
  <printOptions horizontalCentered="1"/>
  <pageMargins left="0.7" right="0.7" top="1" bottom="1" header="0.3" footer="0.3"/>
  <pageSetup scale="44" fitToHeight="0" orientation="portrait" horizontalDpi="300" verticalDpi="300"/>
  <ignoredErrors>
    <ignoredError sqref="J57:J62" calculatedColumn="1"/>
  </ignoredErrors>
  <drawing r:id="rId1"/>
  <tableParts count="1">
    <tablePart r:id="rId2"/>
  </tableParts>
  <extLst>
    <ext xmlns:x14="http://schemas.microsoft.com/office/spreadsheetml/2009/9/main" uri="{CCE6A557-97BC-4b89-ADB6-D9C93CAAB3DF}">
      <x14:dataValidations xmlns:xm="http://schemas.microsoft.com/office/excel/2006/main" xWindow="760" yWindow="637" count="1">
        <x14:dataValidation type="list" allowBlank="1" showInputMessage="1" showErrorMessage="1" errorTitle="Invalid Entry" error="You can only select from the drop options:_x000a_⦁Level 2_x000a_⦁DCFC_x000a_" promptTitle="Port Type" prompt="You can only select from the drop options:_x000a_⦁Level 2_x000a_⦁DCFC" xr:uid="{BC695831-D9D6-45E4-8DEC-63679C0618D1}">
          <x14:formula1>
            <xm:f>'Utility-Side vs Customer-Side'!$A$1048574:$A$1048575</xm:f>
          </x14:formula1>
          <xm:sqref>D6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A3042-A90C-4B8E-B4D6-2E2BEE348B33}">
  <sheetPr codeName="Sheet1"/>
  <dimension ref="A1:I1048575"/>
  <sheetViews>
    <sheetView workbookViewId="0"/>
  </sheetViews>
  <sheetFormatPr defaultRowHeight="14.25" x14ac:dyDescent="0.2"/>
  <cols>
    <col min="1" max="1" width="17.375" customWidth="1"/>
    <col min="2" max="2" width="26.625" style="12" customWidth="1"/>
    <col min="3" max="3" width="14" style="11" customWidth="1"/>
    <col min="4" max="5" width="14" style="12" customWidth="1"/>
  </cols>
  <sheetData>
    <row r="1" spans="1:9" x14ac:dyDescent="0.2">
      <c r="A1" s="13" t="s">
        <v>88</v>
      </c>
      <c r="B1" s="14"/>
      <c r="C1" s="15"/>
      <c r="D1" s="14"/>
      <c r="E1" s="14"/>
      <c r="F1" s="16"/>
      <c r="G1" s="16"/>
      <c r="H1" s="16"/>
      <c r="I1" s="16"/>
    </row>
    <row r="2" spans="1:9" x14ac:dyDescent="0.2">
      <c r="A2" s="16"/>
      <c r="B2" s="14"/>
      <c r="C2" s="15"/>
      <c r="D2" s="14"/>
      <c r="E2" s="14"/>
      <c r="F2" s="16"/>
      <c r="G2" s="16"/>
      <c r="H2" s="16"/>
      <c r="I2" s="16"/>
    </row>
    <row r="3" spans="1:9" ht="15" x14ac:dyDescent="0.2">
      <c r="A3" s="17" t="s">
        <v>89</v>
      </c>
      <c r="B3" s="17" t="s">
        <v>90</v>
      </c>
      <c r="C3" s="17" t="s">
        <v>91</v>
      </c>
      <c r="D3" s="17" t="s">
        <v>92</v>
      </c>
      <c r="E3" s="17" t="s">
        <v>93</v>
      </c>
      <c r="F3" s="18"/>
      <c r="G3" s="16"/>
      <c r="H3" s="16"/>
      <c r="I3" s="16"/>
    </row>
    <row r="4" spans="1:9" ht="30" x14ac:dyDescent="0.2">
      <c r="A4" s="194" t="s">
        <v>94</v>
      </c>
      <c r="B4" s="19" t="s">
        <v>95</v>
      </c>
      <c r="C4" s="20" t="s">
        <v>96</v>
      </c>
      <c r="D4" s="20" t="s">
        <v>96</v>
      </c>
      <c r="E4" s="20" t="s">
        <v>96</v>
      </c>
      <c r="F4" s="18"/>
      <c r="G4" s="16"/>
      <c r="H4" s="16"/>
      <c r="I4" s="16"/>
    </row>
    <row r="5" spans="1:9" ht="30" x14ac:dyDescent="0.2">
      <c r="A5" s="194"/>
      <c r="B5" s="19" t="s">
        <v>97</v>
      </c>
      <c r="C5" s="20" t="s">
        <v>96</v>
      </c>
      <c r="D5" s="20" t="s">
        <v>96</v>
      </c>
      <c r="E5" s="20" t="s">
        <v>96</v>
      </c>
      <c r="F5" s="18"/>
      <c r="G5" s="16"/>
      <c r="H5" s="16"/>
      <c r="I5" s="16"/>
    </row>
    <row r="6" spans="1:9" ht="30" x14ac:dyDescent="0.2">
      <c r="A6" s="194" t="s">
        <v>98</v>
      </c>
      <c r="B6" s="19" t="s">
        <v>95</v>
      </c>
      <c r="C6" s="20" t="s">
        <v>99</v>
      </c>
      <c r="D6" s="20" t="s">
        <v>96</v>
      </c>
      <c r="E6" s="20" t="s">
        <v>96</v>
      </c>
      <c r="F6" s="18"/>
      <c r="G6" s="16"/>
      <c r="H6" s="16"/>
      <c r="I6" s="16"/>
    </row>
    <row r="7" spans="1:9" ht="15" x14ac:dyDescent="0.2">
      <c r="A7" s="194"/>
      <c r="B7" s="19" t="s">
        <v>100</v>
      </c>
      <c r="C7" s="20" t="s">
        <v>99</v>
      </c>
      <c r="D7" s="20" t="s">
        <v>96</v>
      </c>
      <c r="E7" s="20" t="s">
        <v>96</v>
      </c>
      <c r="F7" s="18"/>
      <c r="G7" s="16"/>
      <c r="H7" s="16"/>
      <c r="I7" s="16"/>
    </row>
    <row r="8" spans="1:9" ht="15" x14ac:dyDescent="0.2">
      <c r="A8" s="194"/>
      <c r="B8" s="19" t="s">
        <v>101</v>
      </c>
      <c r="C8" s="20" t="s">
        <v>102</v>
      </c>
      <c r="D8" s="20" t="s">
        <v>96</v>
      </c>
      <c r="E8" s="20" t="s">
        <v>96</v>
      </c>
      <c r="F8" s="18"/>
      <c r="G8" s="16"/>
      <c r="H8" s="16"/>
      <c r="I8" s="16"/>
    </row>
    <row r="9" spans="1:9" ht="30" x14ac:dyDescent="0.2">
      <c r="A9" s="194"/>
      <c r="B9" s="19" t="s">
        <v>103</v>
      </c>
      <c r="C9" s="20" t="s">
        <v>102</v>
      </c>
      <c r="D9" s="20" t="s">
        <v>102</v>
      </c>
      <c r="E9" s="20" t="s">
        <v>102</v>
      </c>
      <c r="F9" s="18"/>
      <c r="G9" s="16"/>
      <c r="H9" s="16"/>
      <c r="I9" s="16"/>
    </row>
    <row r="10" spans="1:9" ht="15" x14ac:dyDescent="0.2">
      <c r="A10" s="194"/>
      <c r="B10" s="19" t="s">
        <v>104</v>
      </c>
      <c r="C10" s="20" t="s">
        <v>102</v>
      </c>
      <c r="D10" s="20" t="s">
        <v>102</v>
      </c>
      <c r="E10" s="20" t="s">
        <v>102</v>
      </c>
      <c r="F10" s="18"/>
      <c r="G10" s="16"/>
      <c r="H10" s="16"/>
      <c r="I10" s="16"/>
    </row>
    <row r="11" spans="1:9" ht="15" x14ac:dyDescent="0.2">
      <c r="A11" s="194"/>
      <c r="B11" s="19" t="s">
        <v>105</v>
      </c>
      <c r="C11" s="20" t="s">
        <v>96</v>
      </c>
      <c r="D11" s="20" t="s">
        <v>96</v>
      </c>
      <c r="E11" s="20" t="s">
        <v>96</v>
      </c>
      <c r="F11" s="18"/>
      <c r="G11" s="16"/>
      <c r="H11" s="16"/>
      <c r="I11" s="16"/>
    </row>
    <row r="12" spans="1:9" ht="15" x14ac:dyDescent="0.2">
      <c r="A12" s="194"/>
      <c r="B12" s="19" t="s">
        <v>106</v>
      </c>
      <c r="C12" s="20" t="s">
        <v>96</v>
      </c>
      <c r="D12" s="20" t="s">
        <v>96</v>
      </c>
      <c r="E12" s="20" t="s">
        <v>96</v>
      </c>
      <c r="F12" s="18"/>
      <c r="G12" s="16"/>
      <c r="H12" s="16"/>
      <c r="I12" s="16"/>
    </row>
    <row r="13" spans="1:9" ht="15" x14ac:dyDescent="0.2">
      <c r="A13" s="194"/>
      <c r="B13" s="19" t="s">
        <v>107</v>
      </c>
      <c r="C13" s="20" t="s">
        <v>96</v>
      </c>
      <c r="D13" s="20" t="s">
        <v>96</v>
      </c>
      <c r="E13" s="20" t="s">
        <v>96</v>
      </c>
      <c r="F13" s="18"/>
      <c r="G13" s="16"/>
      <c r="H13" s="16"/>
      <c r="I13" s="16"/>
    </row>
    <row r="14" spans="1:9" ht="15" x14ac:dyDescent="0.2">
      <c r="A14" s="194"/>
      <c r="B14" s="19" t="s">
        <v>108</v>
      </c>
      <c r="C14" s="20" t="s">
        <v>102</v>
      </c>
      <c r="D14" s="20" t="s">
        <v>102</v>
      </c>
      <c r="E14" s="20" t="s">
        <v>102</v>
      </c>
      <c r="F14" s="18"/>
      <c r="G14" s="16"/>
      <c r="H14" s="16"/>
      <c r="I14" s="16"/>
    </row>
    <row r="15" spans="1:9" ht="15" x14ac:dyDescent="0.2">
      <c r="A15" s="194"/>
      <c r="B15" s="19" t="s">
        <v>109</v>
      </c>
      <c r="C15" s="20" t="s">
        <v>96</v>
      </c>
      <c r="D15" s="20" t="s">
        <v>96</v>
      </c>
      <c r="E15" s="20" t="s">
        <v>96</v>
      </c>
      <c r="F15" s="18"/>
      <c r="G15" s="16"/>
      <c r="H15" s="16"/>
      <c r="I15" s="16"/>
    </row>
    <row r="16" spans="1:9" ht="15" x14ac:dyDescent="0.2">
      <c r="A16" s="194"/>
      <c r="B16" s="19" t="s">
        <v>110</v>
      </c>
      <c r="C16" s="20" t="s">
        <v>102</v>
      </c>
      <c r="D16" s="20" t="s">
        <v>102</v>
      </c>
      <c r="E16" s="20" t="s">
        <v>102</v>
      </c>
      <c r="F16" s="18"/>
      <c r="G16" s="16"/>
      <c r="H16" s="16"/>
      <c r="I16" s="16"/>
    </row>
    <row r="17" spans="1:9" ht="30" x14ac:dyDescent="0.2">
      <c r="A17" s="20" t="s">
        <v>111</v>
      </c>
      <c r="B17" s="21"/>
      <c r="C17" s="22"/>
      <c r="D17" s="21"/>
      <c r="E17" s="21"/>
      <c r="F17" s="18"/>
      <c r="G17" s="16"/>
      <c r="H17" s="16"/>
      <c r="I17" s="16"/>
    </row>
    <row r="18" spans="1:9" ht="15" x14ac:dyDescent="0.2">
      <c r="A18" s="23" t="s">
        <v>112</v>
      </c>
      <c r="B18" s="21"/>
      <c r="C18" s="22"/>
      <c r="D18" s="21"/>
      <c r="E18" s="21"/>
      <c r="F18" s="18"/>
      <c r="G18" s="16"/>
      <c r="H18" s="16"/>
      <c r="I18" s="16"/>
    </row>
    <row r="19" spans="1:9" x14ac:dyDescent="0.2">
      <c r="A19" s="16"/>
      <c r="B19" s="21"/>
      <c r="C19" s="22"/>
      <c r="D19" s="21"/>
      <c r="E19" s="21"/>
      <c r="F19" s="18"/>
      <c r="G19" s="16"/>
      <c r="H19" s="16"/>
      <c r="I19" s="16"/>
    </row>
    <row r="20" spans="1:9" x14ac:dyDescent="0.2">
      <c r="A20" s="16"/>
      <c r="B20" s="21"/>
      <c r="C20" s="22"/>
      <c r="D20" s="21"/>
      <c r="E20" s="21"/>
      <c r="F20" s="18"/>
      <c r="G20" s="16"/>
      <c r="H20" s="16"/>
      <c r="I20" s="16"/>
    </row>
    <row r="21" spans="1:9" x14ac:dyDescent="0.2">
      <c r="A21" s="16"/>
      <c r="B21" s="21"/>
      <c r="C21" s="22"/>
      <c r="D21" s="21"/>
      <c r="E21" s="21"/>
      <c r="F21" s="18"/>
      <c r="G21" s="16"/>
      <c r="H21" s="16"/>
      <c r="I21" s="16"/>
    </row>
    <row r="22" spans="1:9" x14ac:dyDescent="0.2">
      <c r="A22" s="16"/>
      <c r="B22" s="14"/>
      <c r="C22" s="15"/>
      <c r="D22" s="14"/>
      <c r="E22" s="14"/>
      <c r="F22" s="16"/>
      <c r="G22" s="16"/>
      <c r="H22" s="16"/>
      <c r="I22" s="16"/>
    </row>
    <row r="23" spans="1:9" x14ac:dyDescent="0.2">
      <c r="A23" s="16"/>
      <c r="B23" s="14"/>
      <c r="C23" s="15"/>
      <c r="D23" s="14"/>
      <c r="E23" s="14"/>
      <c r="F23" s="16"/>
      <c r="G23" s="16"/>
      <c r="H23" s="16"/>
      <c r="I23" s="16"/>
    </row>
    <row r="1048574" spans="1:1" hidden="1" x14ac:dyDescent="0.2">
      <c r="A1048574" s="16" t="s">
        <v>113</v>
      </c>
    </row>
    <row r="1048575" spans="1:1" hidden="1" x14ac:dyDescent="0.2">
      <c r="A1048575" s="16" t="s">
        <v>11</v>
      </c>
    </row>
  </sheetData>
  <mergeCells count="2">
    <mergeCell ref="A4:A5"/>
    <mergeCell ref="A6:A16"/>
  </mergeCells>
  <pageMargins left="0.7" right="0.7" top="0.75" bottom="0.75" header="0.3" footer="0.3"/>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25F4D-7128-414B-B0DD-4813F4DEAA99}">
  <sheetPr codeName="Sheet5">
    <tabColor rgb="FF00B050"/>
  </sheetPr>
  <dimension ref="A1:I50"/>
  <sheetViews>
    <sheetView topLeftCell="A14" workbookViewId="0">
      <selection activeCell="A62" sqref="A62"/>
    </sheetView>
  </sheetViews>
  <sheetFormatPr defaultRowHeight="14.25" x14ac:dyDescent="0.2"/>
  <cols>
    <col min="1" max="1" width="42.875" style="58" bestFit="1" customWidth="1"/>
    <col min="2" max="2" width="20.75" style="58" customWidth="1"/>
    <col min="3" max="3" width="19.25" style="58" customWidth="1"/>
    <col min="4" max="4" width="18.5" style="58" customWidth="1"/>
    <col min="5" max="6" width="21.625" style="58" customWidth="1"/>
    <col min="7" max="7" width="14.125" style="58" bestFit="1" customWidth="1"/>
    <col min="8" max="8" width="12.875" style="58" customWidth="1"/>
    <col min="9" max="9" width="28" style="58" customWidth="1"/>
    <col min="10" max="16384" width="9" style="58"/>
  </cols>
  <sheetData>
    <row r="1" spans="1:9" s="54" customFormat="1" ht="24" thickBot="1" x14ac:dyDescent="0.4">
      <c r="A1" s="195" t="s">
        <v>23</v>
      </c>
      <c r="B1" s="196"/>
      <c r="C1" s="196"/>
      <c r="D1" s="196"/>
      <c r="E1" s="196"/>
      <c r="F1" s="196"/>
      <c r="G1" s="196"/>
      <c r="H1" s="196"/>
      <c r="I1" s="197"/>
    </row>
    <row r="2" spans="1:9" ht="18" thickBot="1" x14ac:dyDescent="0.25">
      <c r="A2" s="55" t="s">
        <v>114</v>
      </c>
      <c r="B2" s="56" t="s">
        <v>15</v>
      </c>
      <c r="C2" s="56" t="s">
        <v>16</v>
      </c>
      <c r="D2" s="56" t="s">
        <v>115</v>
      </c>
      <c r="E2" s="56" t="s">
        <v>116</v>
      </c>
      <c r="F2" s="56" t="s">
        <v>19</v>
      </c>
      <c r="G2" s="56" t="s">
        <v>20</v>
      </c>
      <c r="H2" s="56" t="s">
        <v>22</v>
      </c>
      <c r="I2" s="57" t="s">
        <v>117</v>
      </c>
    </row>
    <row r="3" spans="1:9" x14ac:dyDescent="0.2">
      <c r="A3" s="59"/>
      <c r="B3" s="60"/>
      <c r="C3" s="61"/>
      <c r="D3" s="62"/>
      <c r="E3" s="63">
        <v>0</v>
      </c>
      <c r="F3" s="64">
        <v>0</v>
      </c>
      <c r="G3" s="63">
        <v>0</v>
      </c>
      <c r="H3" s="64">
        <v>0</v>
      </c>
      <c r="I3" s="65"/>
    </row>
    <row r="4" spans="1:9" x14ac:dyDescent="0.2">
      <c r="A4" s="59"/>
      <c r="B4" s="60"/>
      <c r="C4" s="61"/>
      <c r="D4" s="62"/>
      <c r="E4" s="63">
        <v>0</v>
      </c>
      <c r="F4" s="64">
        <f>D4*E4</f>
        <v>0</v>
      </c>
      <c r="G4" s="63">
        <v>0</v>
      </c>
      <c r="H4" s="64">
        <v>0</v>
      </c>
      <c r="I4" s="65"/>
    </row>
    <row r="5" spans="1:9" x14ac:dyDescent="0.2">
      <c r="A5" s="59"/>
      <c r="B5" s="60"/>
      <c r="C5" s="61"/>
      <c r="D5" s="62"/>
      <c r="E5" s="63"/>
      <c r="F5" s="64">
        <f>D5*E5</f>
        <v>0</v>
      </c>
      <c r="G5" s="63"/>
      <c r="H5" s="64">
        <f>SUM(F5:G5)</f>
        <v>0</v>
      </c>
      <c r="I5" s="65"/>
    </row>
    <row r="6" spans="1:9" x14ac:dyDescent="0.2">
      <c r="A6" s="59"/>
      <c r="B6" s="60"/>
      <c r="C6" s="61"/>
      <c r="D6" s="62"/>
      <c r="E6" s="63">
        <v>0</v>
      </c>
      <c r="F6" s="64">
        <f>D6*E6</f>
        <v>0</v>
      </c>
      <c r="G6" s="63">
        <v>0</v>
      </c>
      <c r="H6" s="64">
        <f>SUM(F6:G6)</f>
        <v>0</v>
      </c>
      <c r="I6" s="65"/>
    </row>
    <row r="7" spans="1:9" x14ac:dyDescent="0.2">
      <c r="A7" s="59"/>
      <c r="B7" s="60"/>
      <c r="C7" s="61"/>
      <c r="D7" s="62"/>
      <c r="E7" s="63">
        <v>0</v>
      </c>
      <c r="F7" s="64">
        <f>D7*E7</f>
        <v>0</v>
      </c>
      <c r="G7" s="63">
        <v>0</v>
      </c>
      <c r="H7" s="64">
        <f>SUM(F7:G7)</f>
        <v>0</v>
      </c>
      <c r="I7" s="65"/>
    </row>
    <row r="8" spans="1:9" ht="15" thickBot="1" x14ac:dyDescent="0.25">
      <c r="A8" s="66"/>
      <c r="B8" s="67"/>
      <c r="C8" s="68"/>
      <c r="D8" s="69"/>
      <c r="E8" s="70">
        <v>0</v>
      </c>
      <c r="F8" s="71">
        <f>D8*E8</f>
        <v>0</v>
      </c>
      <c r="G8" s="70">
        <v>0</v>
      </c>
      <c r="H8" s="71">
        <f>SUM(F8:G8)</f>
        <v>0</v>
      </c>
      <c r="I8" s="72"/>
    </row>
    <row r="9" spans="1:9" s="54" customFormat="1" ht="24" thickBot="1" x14ac:dyDescent="0.4">
      <c r="A9" s="195" t="s">
        <v>27</v>
      </c>
      <c r="B9" s="196"/>
      <c r="C9" s="196"/>
      <c r="D9" s="196"/>
      <c r="E9" s="196"/>
      <c r="F9" s="196"/>
      <c r="G9" s="196"/>
      <c r="H9" s="196"/>
      <c r="I9" s="197"/>
    </row>
    <row r="10" spans="1:9" ht="18" thickBot="1" x14ac:dyDescent="0.25">
      <c r="A10" s="55" t="s">
        <v>114</v>
      </c>
      <c r="B10" s="56" t="s">
        <v>15</v>
      </c>
      <c r="C10" s="56" t="s">
        <v>16</v>
      </c>
      <c r="D10" s="56" t="s">
        <v>115</v>
      </c>
      <c r="E10" s="56" t="s">
        <v>116</v>
      </c>
      <c r="F10" s="56" t="s">
        <v>19</v>
      </c>
      <c r="G10" s="56" t="s">
        <v>20</v>
      </c>
      <c r="H10" s="56" t="s">
        <v>22</v>
      </c>
      <c r="I10" s="57" t="s">
        <v>117</v>
      </c>
    </row>
    <row r="11" spans="1:9" x14ac:dyDescent="0.2">
      <c r="A11" s="59"/>
      <c r="B11" s="60"/>
      <c r="C11" s="61"/>
      <c r="D11" s="62"/>
      <c r="E11" s="63">
        <v>0</v>
      </c>
      <c r="F11" s="64">
        <f>D11*E11</f>
        <v>0</v>
      </c>
      <c r="G11" s="63">
        <v>0</v>
      </c>
      <c r="H11" s="64">
        <f>SUM(F11:G11)</f>
        <v>0</v>
      </c>
      <c r="I11" s="65"/>
    </row>
    <row r="12" spans="1:9" x14ac:dyDescent="0.2">
      <c r="A12" s="59"/>
      <c r="B12" s="60"/>
      <c r="C12" s="61"/>
      <c r="D12" s="62"/>
      <c r="E12" s="63">
        <v>0</v>
      </c>
      <c r="F12" s="64">
        <f>D12*E12</f>
        <v>0</v>
      </c>
      <c r="G12" s="63">
        <v>0</v>
      </c>
      <c r="H12" s="64">
        <f>SUM(F12:G12)</f>
        <v>0</v>
      </c>
      <c r="I12" s="65"/>
    </row>
    <row r="13" spans="1:9" x14ac:dyDescent="0.2">
      <c r="A13" s="59"/>
      <c r="B13" s="60"/>
      <c r="C13" s="61"/>
      <c r="D13" s="62"/>
      <c r="E13" s="63">
        <v>0</v>
      </c>
      <c r="F13" s="64">
        <f>D13*E13</f>
        <v>0</v>
      </c>
      <c r="G13" s="63">
        <v>0</v>
      </c>
      <c r="H13" s="64">
        <f>SUM(F13:G13)</f>
        <v>0</v>
      </c>
      <c r="I13" s="65"/>
    </row>
    <row r="14" spans="1:9" x14ac:dyDescent="0.2">
      <c r="A14" s="59"/>
      <c r="B14" s="60"/>
      <c r="C14" s="61"/>
      <c r="D14" s="62"/>
      <c r="E14" s="63">
        <v>0</v>
      </c>
      <c r="F14" s="64">
        <f>D14*E14</f>
        <v>0</v>
      </c>
      <c r="G14" s="63">
        <v>0</v>
      </c>
      <c r="H14" s="64">
        <f>SUM(F14:G14)</f>
        <v>0</v>
      </c>
      <c r="I14" s="65"/>
    </row>
    <row r="15" spans="1:9" ht="15" thickBot="1" x14ac:dyDescent="0.25">
      <c r="A15" s="66"/>
      <c r="B15" s="67"/>
      <c r="C15" s="68"/>
      <c r="D15" s="69"/>
      <c r="E15" s="70">
        <v>0</v>
      </c>
      <c r="F15" s="71">
        <f>D15*E15</f>
        <v>0</v>
      </c>
      <c r="G15" s="70">
        <v>0</v>
      </c>
      <c r="H15" s="71">
        <f>SUM(F15:G15)</f>
        <v>0</v>
      </c>
      <c r="I15" s="72"/>
    </row>
    <row r="16" spans="1:9" s="54" customFormat="1" ht="24" thickBot="1" x14ac:dyDescent="0.4">
      <c r="A16" s="195" t="s">
        <v>118</v>
      </c>
      <c r="B16" s="196"/>
      <c r="C16" s="196"/>
      <c r="D16" s="196"/>
      <c r="E16" s="196"/>
      <c r="F16" s="196"/>
      <c r="G16" s="196"/>
      <c r="H16" s="196"/>
      <c r="I16" s="197"/>
    </row>
    <row r="17" spans="1:9" ht="18" thickBot="1" x14ac:dyDescent="0.25">
      <c r="A17" s="55" t="s">
        <v>114</v>
      </c>
      <c r="B17" s="56" t="s">
        <v>15</v>
      </c>
      <c r="C17" s="56" t="s">
        <v>16</v>
      </c>
      <c r="D17" s="56" t="s">
        <v>115</v>
      </c>
      <c r="E17" s="56" t="s">
        <v>116</v>
      </c>
      <c r="F17" s="56" t="s">
        <v>19</v>
      </c>
      <c r="G17" s="56" t="s">
        <v>20</v>
      </c>
      <c r="H17" s="56" t="s">
        <v>22</v>
      </c>
      <c r="I17" s="57" t="s">
        <v>117</v>
      </c>
    </row>
    <row r="18" spans="1:9" x14ac:dyDescent="0.2">
      <c r="A18" s="59"/>
      <c r="B18" s="60"/>
      <c r="C18" s="61"/>
      <c r="D18" s="62"/>
      <c r="E18" s="63">
        <v>0</v>
      </c>
      <c r="F18" s="64">
        <f>D18*E18</f>
        <v>0</v>
      </c>
      <c r="G18" s="63">
        <v>0</v>
      </c>
      <c r="H18" s="64">
        <f>SUM(F18:G18)</f>
        <v>0</v>
      </c>
      <c r="I18" s="65"/>
    </row>
    <row r="19" spans="1:9" x14ac:dyDescent="0.2">
      <c r="A19" s="59"/>
      <c r="B19" s="60"/>
      <c r="C19" s="61"/>
      <c r="D19" s="62"/>
      <c r="E19" s="63">
        <v>0</v>
      </c>
      <c r="F19" s="64">
        <f>D19*E19</f>
        <v>0</v>
      </c>
      <c r="G19" s="63">
        <v>0</v>
      </c>
      <c r="H19" s="64">
        <f>SUM(F19:G19)</f>
        <v>0</v>
      </c>
      <c r="I19" s="65"/>
    </row>
    <row r="20" spans="1:9" x14ac:dyDescent="0.2">
      <c r="A20" s="59"/>
      <c r="B20" s="60"/>
      <c r="C20" s="61"/>
      <c r="D20" s="62"/>
      <c r="E20" s="63">
        <v>0</v>
      </c>
      <c r="F20" s="64">
        <f>D20*E20</f>
        <v>0</v>
      </c>
      <c r="G20" s="63">
        <v>0</v>
      </c>
      <c r="H20" s="64">
        <f>SUM(F20:G20)</f>
        <v>0</v>
      </c>
      <c r="I20" s="65"/>
    </row>
    <row r="21" spans="1:9" x14ac:dyDescent="0.2">
      <c r="A21" s="59"/>
      <c r="B21" s="60"/>
      <c r="C21" s="61"/>
      <c r="D21" s="62"/>
      <c r="E21" s="63">
        <v>0</v>
      </c>
      <c r="F21" s="64">
        <f>D21*E21</f>
        <v>0</v>
      </c>
      <c r="G21" s="63">
        <v>0</v>
      </c>
      <c r="H21" s="64">
        <f>SUM(F21:G21)</f>
        <v>0</v>
      </c>
      <c r="I21" s="65"/>
    </row>
    <row r="22" spans="1:9" ht="15" thickBot="1" x14ac:dyDescent="0.25">
      <c r="A22" s="66"/>
      <c r="B22" s="67"/>
      <c r="C22" s="68"/>
      <c r="D22" s="69"/>
      <c r="E22" s="70">
        <v>0</v>
      </c>
      <c r="F22" s="71">
        <f>D22*E22</f>
        <v>0</v>
      </c>
      <c r="G22" s="70">
        <v>0</v>
      </c>
      <c r="H22" s="71">
        <f>SUM(F22:G22)</f>
        <v>0</v>
      </c>
      <c r="I22" s="72"/>
    </row>
    <row r="23" spans="1:9" s="54" customFormat="1" ht="24" thickBot="1" x14ac:dyDescent="0.4">
      <c r="A23" s="195" t="s">
        <v>48</v>
      </c>
      <c r="B23" s="196"/>
      <c r="C23" s="196"/>
      <c r="D23" s="196"/>
      <c r="E23" s="196"/>
      <c r="F23" s="196"/>
      <c r="G23" s="196"/>
      <c r="H23" s="196"/>
      <c r="I23" s="197"/>
    </row>
    <row r="24" spans="1:9" ht="18" thickBot="1" x14ac:dyDescent="0.25">
      <c r="A24" s="55" t="s">
        <v>114</v>
      </c>
      <c r="B24" s="56" t="s">
        <v>15</v>
      </c>
      <c r="C24" s="56" t="s">
        <v>16</v>
      </c>
      <c r="D24" s="56" t="s">
        <v>115</v>
      </c>
      <c r="E24" s="56" t="s">
        <v>116</v>
      </c>
      <c r="F24" s="56" t="s">
        <v>19</v>
      </c>
      <c r="G24" s="56" t="s">
        <v>20</v>
      </c>
      <c r="H24" s="56" t="s">
        <v>22</v>
      </c>
      <c r="I24" s="57" t="s">
        <v>117</v>
      </c>
    </row>
    <row r="25" spans="1:9" x14ac:dyDescent="0.2">
      <c r="A25" s="59"/>
      <c r="B25" s="60"/>
      <c r="C25" s="61"/>
      <c r="D25" s="62"/>
      <c r="E25" s="63">
        <v>0</v>
      </c>
      <c r="F25" s="64">
        <f>D25*E25</f>
        <v>0</v>
      </c>
      <c r="G25" s="63">
        <v>0</v>
      </c>
      <c r="H25" s="64">
        <f>SUM(F25:G25)</f>
        <v>0</v>
      </c>
      <c r="I25" s="65"/>
    </row>
    <row r="26" spans="1:9" x14ac:dyDescent="0.2">
      <c r="A26" s="59"/>
      <c r="B26" s="60"/>
      <c r="C26" s="61"/>
      <c r="D26" s="62"/>
      <c r="E26" s="63">
        <v>0</v>
      </c>
      <c r="F26" s="64">
        <f>D26*E26</f>
        <v>0</v>
      </c>
      <c r="G26" s="63">
        <v>0</v>
      </c>
      <c r="H26" s="64">
        <f>SUM(F26:G26)</f>
        <v>0</v>
      </c>
      <c r="I26" s="65"/>
    </row>
    <row r="27" spans="1:9" x14ac:dyDescent="0.2">
      <c r="A27" s="59"/>
      <c r="B27" s="60"/>
      <c r="C27" s="61"/>
      <c r="D27" s="62"/>
      <c r="E27" s="63">
        <v>0</v>
      </c>
      <c r="F27" s="64">
        <f>D27*E27</f>
        <v>0</v>
      </c>
      <c r="G27" s="63">
        <v>0</v>
      </c>
      <c r="H27" s="64">
        <f>SUM(F27:G27)</f>
        <v>0</v>
      </c>
      <c r="I27" s="65"/>
    </row>
    <row r="28" spans="1:9" x14ac:dyDescent="0.2">
      <c r="A28" s="59"/>
      <c r="B28" s="60"/>
      <c r="C28" s="61"/>
      <c r="D28" s="62"/>
      <c r="E28" s="63">
        <v>0</v>
      </c>
      <c r="F28" s="64">
        <f>D28*E28</f>
        <v>0</v>
      </c>
      <c r="G28" s="63">
        <v>0</v>
      </c>
      <c r="H28" s="64">
        <f>SUM(F28:G28)</f>
        <v>0</v>
      </c>
      <c r="I28" s="65"/>
    </row>
    <row r="29" spans="1:9" ht="15" thickBot="1" x14ac:dyDescent="0.25">
      <c r="A29" s="66"/>
      <c r="B29" s="67"/>
      <c r="C29" s="68"/>
      <c r="D29" s="69"/>
      <c r="E29" s="70">
        <v>0</v>
      </c>
      <c r="F29" s="71">
        <f>D29*E29</f>
        <v>0</v>
      </c>
      <c r="G29" s="70">
        <v>0</v>
      </c>
      <c r="H29" s="71">
        <f>SUM(F29:G29)</f>
        <v>0</v>
      </c>
      <c r="I29" s="72"/>
    </row>
    <row r="30" spans="1:9" s="54" customFormat="1" ht="24" thickBot="1" x14ac:dyDescent="0.4">
      <c r="A30" s="195" t="s">
        <v>55</v>
      </c>
      <c r="B30" s="196"/>
      <c r="C30" s="196"/>
      <c r="D30" s="196"/>
      <c r="E30" s="196"/>
      <c r="F30" s="196"/>
      <c r="G30" s="196"/>
      <c r="H30" s="196"/>
      <c r="I30" s="197"/>
    </row>
    <row r="31" spans="1:9" ht="18" thickBot="1" x14ac:dyDescent="0.25">
      <c r="A31" s="55" t="s">
        <v>114</v>
      </c>
      <c r="B31" s="56" t="s">
        <v>15</v>
      </c>
      <c r="C31" s="56" t="s">
        <v>16</v>
      </c>
      <c r="D31" s="56" t="s">
        <v>115</v>
      </c>
      <c r="E31" s="56" t="s">
        <v>116</v>
      </c>
      <c r="F31" s="56" t="s">
        <v>19</v>
      </c>
      <c r="G31" s="56" t="s">
        <v>20</v>
      </c>
      <c r="H31" s="56" t="s">
        <v>22</v>
      </c>
      <c r="I31" s="57" t="s">
        <v>117</v>
      </c>
    </row>
    <row r="32" spans="1:9" x14ac:dyDescent="0.2">
      <c r="A32" s="59"/>
      <c r="B32" s="60"/>
      <c r="C32" s="61"/>
      <c r="D32" s="62"/>
      <c r="E32" s="63">
        <v>0</v>
      </c>
      <c r="F32" s="64">
        <f>D32*E32</f>
        <v>0</v>
      </c>
      <c r="G32" s="63">
        <v>0</v>
      </c>
      <c r="H32" s="64">
        <f>SUM(F32:G32)</f>
        <v>0</v>
      </c>
      <c r="I32" s="65"/>
    </row>
    <row r="33" spans="1:9" x14ac:dyDescent="0.2">
      <c r="A33" s="59"/>
      <c r="B33" s="60"/>
      <c r="C33" s="61"/>
      <c r="D33" s="62"/>
      <c r="E33" s="63">
        <v>0</v>
      </c>
      <c r="F33" s="64">
        <f>D33*E33</f>
        <v>0</v>
      </c>
      <c r="G33" s="63">
        <v>0</v>
      </c>
      <c r="H33" s="64">
        <f>SUM(F33:G33)</f>
        <v>0</v>
      </c>
      <c r="I33" s="65"/>
    </row>
    <row r="34" spans="1:9" x14ac:dyDescent="0.2">
      <c r="A34" s="59"/>
      <c r="B34" s="60"/>
      <c r="C34" s="61"/>
      <c r="D34" s="62"/>
      <c r="E34" s="63">
        <v>0</v>
      </c>
      <c r="F34" s="64">
        <f>D34*E34</f>
        <v>0</v>
      </c>
      <c r="G34" s="63">
        <v>0</v>
      </c>
      <c r="H34" s="64">
        <f>SUM(F34:G34)</f>
        <v>0</v>
      </c>
      <c r="I34" s="65"/>
    </row>
    <row r="35" spans="1:9" x14ac:dyDescent="0.2">
      <c r="A35" s="59"/>
      <c r="B35" s="60"/>
      <c r="C35" s="61"/>
      <c r="D35" s="62"/>
      <c r="E35" s="63">
        <v>0</v>
      </c>
      <c r="F35" s="64">
        <f>D35*E35</f>
        <v>0</v>
      </c>
      <c r="G35" s="63">
        <v>0</v>
      </c>
      <c r="H35" s="64">
        <f>SUM(F35:G35)</f>
        <v>0</v>
      </c>
      <c r="I35" s="65"/>
    </row>
    <row r="36" spans="1:9" ht="15" thickBot="1" x14ac:dyDescent="0.25">
      <c r="A36" s="66"/>
      <c r="B36" s="67"/>
      <c r="C36" s="68"/>
      <c r="D36" s="69"/>
      <c r="E36" s="70">
        <v>0</v>
      </c>
      <c r="F36" s="71">
        <f>D36*E36</f>
        <v>0</v>
      </c>
      <c r="G36" s="70">
        <v>0</v>
      </c>
      <c r="H36" s="71">
        <f>SUM(F36:G36)</f>
        <v>0</v>
      </c>
      <c r="I36" s="72"/>
    </row>
    <row r="37" spans="1:9" s="54" customFormat="1" ht="24" thickBot="1" x14ac:dyDescent="0.4">
      <c r="A37" s="195" t="s">
        <v>58</v>
      </c>
      <c r="B37" s="196"/>
      <c r="C37" s="196"/>
      <c r="D37" s="196"/>
      <c r="E37" s="196"/>
      <c r="F37" s="196"/>
      <c r="G37" s="196"/>
      <c r="H37" s="196"/>
      <c r="I37" s="197"/>
    </row>
    <row r="38" spans="1:9" ht="18" thickBot="1" x14ac:dyDescent="0.25">
      <c r="A38" s="55" t="s">
        <v>114</v>
      </c>
      <c r="B38" s="56" t="s">
        <v>15</v>
      </c>
      <c r="C38" s="56" t="s">
        <v>16</v>
      </c>
      <c r="D38" s="56" t="s">
        <v>115</v>
      </c>
      <c r="E38" s="56" t="s">
        <v>116</v>
      </c>
      <c r="F38" s="56" t="s">
        <v>19</v>
      </c>
      <c r="G38" s="56" t="s">
        <v>20</v>
      </c>
      <c r="H38" s="56" t="s">
        <v>22</v>
      </c>
      <c r="I38" s="57" t="s">
        <v>117</v>
      </c>
    </row>
    <row r="39" spans="1:9" x14ac:dyDescent="0.2">
      <c r="A39" s="59"/>
      <c r="B39" s="60"/>
      <c r="C39" s="61"/>
      <c r="D39" s="62"/>
      <c r="E39" s="63">
        <v>0</v>
      </c>
      <c r="F39" s="64">
        <f>D39*E39</f>
        <v>0</v>
      </c>
      <c r="G39" s="63">
        <v>0</v>
      </c>
      <c r="H39" s="64">
        <f>SUM(F39:G39)</f>
        <v>0</v>
      </c>
      <c r="I39" s="65"/>
    </row>
    <row r="40" spans="1:9" x14ac:dyDescent="0.2">
      <c r="A40" s="59"/>
      <c r="B40" s="60"/>
      <c r="C40" s="61"/>
      <c r="D40" s="62"/>
      <c r="E40" s="63">
        <v>0</v>
      </c>
      <c r="F40" s="64">
        <f>D40*E40</f>
        <v>0</v>
      </c>
      <c r="G40" s="63">
        <v>0</v>
      </c>
      <c r="H40" s="64">
        <f>SUM(F40:G40)</f>
        <v>0</v>
      </c>
      <c r="I40" s="65"/>
    </row>
    <row r="41" spans="1:9" x14ac:dyDescent="0.2">
      <c r="A41" s="59"/>
      <c r="B41" s="60"/>
      <c r="C41" s="61"/>
      <c r="D41" s="62"/>
      <c r="E41" s="63">
        <v>0</v>
      </c>
      <c r="F41" s="64">
        <f>D41*E41</f>
        <v>0</v>
      </c>
      <c r="G41" s="63">
        <v>0</v>
      </c>
      <c r="H41" s="64">
        <f>SUM(F41:G41)</f>
        <v>0</v>
      </c>
      <c r="I41" s="65"/>
    </row>
    <row r="42" spans="1:9" x14ac:dyDescent="0.2">
      <c r="A42" s="59"/>
      <c r="B42" s="60"/>
      <c r="C42" s="61"/>
      <c r="D42" s="62"/>
      <c r="E42" s="63">
        <v>0</v>
      </c>
      <c r="F42" s="64">
        <f>D42*E42</f>
        <v>0</v>
      </c>
      <c r="G42" s="63">
        <v>0</v>
      </c>
      <c r="H42" s="64">
        <f>SUM(F42:G42)</f>
        <v>0</v>
      </c>
      <c r="I42" s="65"/>
    </row>
    <row r="43" spans="1:9" ht="15" thickBot="1" x14ac:dyDescent="0.25">
      <c r="A43" s="66"/>
      <c r="B43" s="67"/>
      <c r="C43" s="68"/>
      <c r="D43" s="69"/>
      <c r="E43" s="70">
        <v>0</v>
      </c>
      <c r="F43" s="71">
        <f>D43*E43</f>
        <v>0</v>
      </c>
      <c r="G43" s="70">
        <v>0</v>
      </c>
      <c r="H43" s="71">
        <f>SUM(F43:G43)</f>
        <v>0</v>
      </c>
      <c r="I43" s="72"/>
    </row>
    <row r="44" spans="1:9" s="54" customFormat="1" ht="24" thickBot="1" x14ac:dyDescent="0.4">
      <c r="A44" s="73" t="s">
        <v>71</v>
      </c>
      <c r="B44" s="74"/>
      <c r="C44" s="74"/>
      <c r="D44" s="74"/>
      <c r="E44" s="74"/>
      <c r="F44" s="74"/>
      <c r="G44" s="74"/>
      <c r="H44" s="74"/>
      <c r="I44" s="75"/>
    </row>
    <row r="45" spans="1:9" ht="18" thickBot="1" x14ac:dyDescent="0.25">
      <c r="A45" s="55" t="s">
        <v>114</v>
      </c>
      <c r="B45" s="56" t="s">
        <v>15</v>
      </c>
      <c r="C45" s="56" t="s">
        <v>16</v>
      </c>
      <c r="D45" s="56" t="s">
        <v>115</v>
      </c>
      <c r="E45" s="56" t="s">
        <v>116</v>
      </c>
      <c r="F45" s="56" t="s">
        <v>19</v>
      </c>
      <c r="G45" s="56" t="s">
        <v>20</v>
      </c>
      <c r="H45" s="56" t="s">
        <v>22</v>
      </c>
      <c r="I45" s="57" t="s">
        <v>117</v>
      </c>
    </row>
    <row r="46" spans="1:9" x14ac:dyDescent="0.2">
      <c r="A46" s="59"/>
      <c r="B46" s="60"/>
      <c r="C46" s="61"/>
      <c r="D46" s="62"/>
      <c r="E46" s="63">
        <v>0</v>
      </c>
      <c r="F46" s="64">
        <f>D46*E46</f>
        <v>0</v>
      </c>
      <c r="G46" s="63">
        <v>0</v>
      </c>
      <c r="H46" s="64">
        <f>SUM(F46:G46)</f>
        <v>0</v>
      </c>
      <c r="I46" s="65"/>
    </row>
    <row r="47" spans="1:9" x14ac:dyDescent="0.2">
      <c r="A47" s="59"/>
      <c r="B47" s="60"/>
      <c r="C47" s="61"/>
      <c r="D47" s="62"/>
      <c r="E47" s="63">
        <v>0</v>
      </c>
      <c r="F47" s="64">
        <f>D47*E47</f>
        <v>0</v>
      </c>
      <c r="G47" s="63">
        <v>0</v>
      </c>
      <c r="H47" s="64">
        <f>SUM(F47:G47)</f>
        <v>0</v>
      </c>
      <c r="I47" s="65"/>
    </row>
    <row r="48" spans="1:9" x14ac:dyDescent="0.2">
      <c r="A48" s="59"/>
      <c r="B48" s="60"/>
      <c r="C48" s="61"/>
      <c r="D48" s="62"/>
      <c r="E48" s="63">
        <v>0</v>
      </c>
      <c r="F48" s="64">
        <f>D48*E48</f>
        <v>0</v>
      </c>
      <c r="G48" s="63">
        <v>0</v>
      </c>
      <c r="H48" s="64">
        <f>SUM(F48:G48)</f>
        <v>0</v>
      </c>
      <c r="I48" s="65"/>
    </row>
    <row r="49" spans="1:9" x14ac:dyDescent="0.2">
      <c r="A49" s="59"/>
      <c r="B49" s="60"/>
      <c r="C49" s="61"/>
      <c r="D49" s="62"/>
      <c r="E49" s="63">
        <v>0</v>
      </c>
      <c r="F49" s="64">
        <f>D49*E49</f>
        <v>0</v>
      </c>
      <c r="G49" s="63">
        <v>0</v>
      </c>
      <c r="H49" s="64">
        <f>SUM(F49:G49)</f>
        <v>0</v>
      </c>
      <c r="I49" s="65"/>
    </row>
    <row r="50" spans="1:9" x14ac:dyDescent="0.2">
      <c r="A50" s="66"/>
      <c r="B50" s="67"/>
      <c r="C50" s="68"/>
      <c r="D50" s="69"/>
      <c r="E50" s="70">
        <v>0</v>
      </c>
      <c r="F50" s="71">
        <f>D50*E50</f>
        <v>0</v>
      </c>
      <c r="G50" s="70">
        <v>0</v>
      </c>
      <c r="H50" s="71">
        <f>SUM(F50:G50)</f>
        <v>0</v>
      </c>
      <c r="I50" s="72"/>
    </row>
  </sheetData>
  <mergeCells count="6">
    <mergeCell ref="A37:I37"/>
    <mergeCell ref="A1:I1"/>
    <mergeCell ref="A9:I9"/>
    <mergeCell ref="A16:I16"/>
    <mergeCell ref="A23:I23"/>
    <mergeCell ref="A30:I30"/>
  </mergeCells>
  <dataValidations count="2">
    <dataValidation type="list" allowBlank="1" showInputMessage="1" showErrorMessage="1" sqref="I11:I15 I18:I22 I25:I29 I32:I36 I3:I8 I39:I43 I46:I50" xr:uid="{391D3D59-208E-4BB6-99BE-8003078260F2}">
      <formula1>"Yes, No"</formula1>
    </dataValidation>
    <dataValidation type="list" allowBlank="1" showInputMessage="1" showErrorMessage="1" sqref="C11:C15 C18:C22 C25:C29 C32:C36 C3:C8 C39:C43 C46:C50" xr:uid="{0FF7F569-8DA8-4062-8A0C-CD096A21BAB5}">
      <formula1>"Per Site, Per Foot, Per Unit, Total"</formula1>
    </dataValidation>
  </dataValidations>
  <pageMargins left="0.7" right="0.7" top="0.75" bottom="0.75" header="0.3" footer="0.3"/>
  <pageSetup orientation="portrait" horizontalDpi="300" verticalDpi="300"/>
  <tableParts count="6">
    <tablePart r:id="rId1"/>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63EED-ACF5-42BD-BE70-6D2A425FC180}">
  <sheetPr codeName="Sheet3">
    <tabColor rgb="FF00B0F0"/>
    <pageSetUpPr fitToPage="1"/>
  </sheetPr>
  <dimension ref="B1:K67"/>
  <sheetViews>
    <sheetView topLeftCell="A6" zoomScaleNormal="100" workbookViewId="0">
      <selection activeCell="J7" sqref="J7"/>
    </sheetView>
  </sheetViews>
  <sheetFormatPr defaultColWidth="8" defaultRowHeight="14.25" outlineLevelRow="1" x14ac:dyDescent="0.2"/>
  <cols>
    <col min="1" max="1" width="2.75" style="26" customWidth="1"/>
    <col min="2" max="2" width="42.875" style="26" bestFit="1" customWidth="1"/>
    <col min="3" max="3" width="20.75" style="26" customWidth="1"/>
    <col min="4" max="4" width="19.25" style="26" customWidth="1"/>
    <col min="5" max="5" width="10.5" style="26" customWidth="1"/>
    <col min="6" max="6" width="22.75" style="26" customWidth="1"/>
    <col min="7" max="7" width="21.625" style="26" customWidth="1"/>
    <col min="8" max="8" width="14.125" style="26" bestFit="1" customWidth="1"/>
    <col min="9" max="9" width="12.875" style="26" customWidth="1"/>
    <col min="10" max="10" width="28" style="26" customWidth="1"/>
    <col min="11" max="12" width="8" style="26"/>
    <col min="13" max="13" width="1.375" style="26" customWidth="1"/>
    <col min="14" max="14" width="17.625" style="26" customWidth="1"/>
    <col min="15" max="15" width="22.375" style="26" customWidth="1"/>
    <col min="16" max="16" width="25.625" style="26" customWidth="1"/>
    <col min="17" max="16384" width="8" style="26"/>
  </cols>
  <sheetData>
    <row r="1" spans="2:11" ht="79.5" customHeight="1" x14ac:dyDescent="0.2">
      <c r="B1" s="198" t="s">
        <v>119</v>
      </c>
      <c r="C1" s="198"/>
      <c r="D1" s="198"/>
      <c r="E1" s="198"/>
      <c r="F1" s="198"/>
      <c r="K1" s="27"/>
    </row>
    <row r="2" spans="2:11" ht="30" customHeight="1" x14ac:dyDescent="0.2"/>
    <row r="3" spans="2:11" ht="30" customHeight="1" x14ac:dyDescent="0.2"/>
    <row r="4" spans="2:11" ht="30" customHeight="1" x14ac:dyDescent="0.2"/>
    <row r="5" spans="2:11" ht="30" customHeight="1" x14ac:dyDescent="0.2"/>
    <row r="6" spans="2:11" ht="30" customHeight="1" x14ac:dyDescent="0.2"/>
    <row r="7" spans="2:11" ht="30" customHeight="1" x14ac:dyDescent="0.2"/>
    <row r="8" spans="2:11" ht="30" customHeight="1" x14ac:dyDescent="0.2"/>
    <row r="9" spans="2:11" ht="30" customHeight="1" x14ac:dyDescent="0.2"/>
    <row r="10" spans="2:11" ht="30" customHeight="1" x14ac:dyDescent="0.2"/>
    <row r="11" spans="2:11" ht="30" customHeight="1" x14ac:dyDescent="0.2"/>
    <row r="12" spans="2:11" ht="30" customHeight="1" x14ac:dyDescent="0.2"/>
    <row r="13" spans="2:11" ht="31.5" customHeight="1" x14ac:dyDescent="0.2"/>
    <row r="14" spans="2:11" ht="30" customHeight="1" x14ac:dyDescent="0.2"/>
    <row r="15" spans="2:11" ht="30" customHeight="1" x14ac:dyDescent="0.2"/>
    <row r="16" spans="2:11" ht="30" customHeight="1" outlineLevel="1" x14ac:dyDescent="0.2"/>
    <row r="17" spans="2:10" ht="30" customHeight="1" x14ac:dyDescent="0.2"/>
    <row r="18" spans="2:10" ht="30" customHeight="1" outlineLevel="1" x14ac:dyDescent="0.2"/>
    <row r="19" spans="2:10" ht="30" customHeight="1" x14ac:dyDescent="0.2"/>
    <row r="20" spans="2:10" ht="30" customHeight="1" x14ac:dyDescent="0.2"/>
    <row r="21" spans="2:10" ht="30" customHeight="1" x14ac:dyDescent="0.2"/>
    <row r="22" spans="2:10" ht="30" customHeight="1" x14ac:dyDescent="0.2"/>
    <row r="23" spans="2:10" ht="30" customHeight="1" x14ac:dyDescent="0.2"/>
    <row r="24" spans="2:10" ht="30" customHeight="1" x14ac:dyDescent="0.2"/>
    <row r="25" spans="2:10" ht="30" customHeight="1" x14ac:dyDescent="0.2"/>
    <row r="26" spans="2:10" ht="30" customHeight="1" x14ac:dyDescent="0.2"/>
    <row r="27" spans="2:10" ht="30" customHeight="1" x14ac:dyDescent="0.2"/>
    <row r="28" spans="2:10" ht="30" customHeight="1" x14ac:dyDescent="0.2"/>
    <row r="29" spans="2:10" ht="30" customHeight="1" x14ac:dyDescent="0.2"/>
    <row r="30" spans="2:10" s="28" customFormat="1" ht="30" customHeight="1" x14ac:dyDescent="0.2">
      <c r="B30" s="26"/>
      <c r="C30" s="26"/>
      <c r="D30" s="26"/>
      <c r="E30" s="26"/>
      <c r="F30" s="26"/>
      <c r="G30" s="26"/>
      <c r="H30" s="26"/>
      <c r="I30" s="26"/>
      <c r="J30" s="26"/>
    </row>
    <row r="31" spans="2:10" s="28" customFormat="1" ht="30" customHeight="1" x14ac:dyDescent="0.2">
      <c r="B31" s="26"/>
      <c r="C31" s="26"/>
      <c r="D31" s="26"/>
      <c r="E31" s="26"/>
      <c r="F31" s="26"/>
      <c r="G31" s="26"/>
      <c r="H31" s="26"/>
      <c r="I31" s="26"/>
      <c r="J31" s="26"/>
    </row>
    <row r="32" spans="2:10" ht="30" customHeight="1" x14ac:dyDescent="0.2"/>
    <row r="33" spans="2:10" s="28" customFormat="1" ht="30" customHeight="1" x14ac:dyDescent="0.2">
      <c r="B33" s="26"/>
      <c r="C33" s="26"/>
      <c r="D33" s="26"/>
      <c r="E33" s="26"/>
      <c r="F33" s="26"/>
      <c r="G33" s="26"/>
      <c r="H33" s="26"/>
      <c r="I33" s="26"/>
      <c r="J33" s="26"/>
    </row>
    <row r="34" spans="2:10" s="28" customFormat="1" ht="30" customHeight="1" x14ac:dyDescent="0.2">
      <c r="B34" s="26"/>
      <c r="C34" s="26"/>
      <c r="D34" s="26"/>
      <c r="E34" s="26"/>
      <c r="F34" s="26"/>
      <c r="G34" s="26"/>
      <c r="H34" s="26"/>
      <c r="I34" s="26"/>
      <c r="J34" s="26"/>
    </row>
    <row r="35" spans="2:10" s="28" customFormat="1" ht="30" customHeight="1" x14ac:dyDescent="0.2">
      <c r="B35" s="26"/>
      <c r="C35" s="26"/>
      <c r="D35" s="26"/>
      <c r="E35" s="26"/>
      <c r="F35" s="26"/>
      <c r="G35" s="26"/>
      <c r="H35" s="26"/>
      <c r="I35" s="26"/>
      <c r="J35" s="26"/>
    </row>
    <row r="36" spans="2:10" ht="30" customHeight="1" x14ac:dyDescent="0.2"/>
    <row r="37" spans="2:10" ht="30" customHeight="1" x14ac:dyDescent="0.2"/>
    <row r="38" spans="2:10" s="28" customFormat="1" ht="30" customHeight="1" x14ac:dyDescent="0.2">
      <c r="B38" s="26"/>
      <c r="C38" s="26"/>
      <c r="D38" s="26"/>
      <c r="E38" s="26"/>
      <c r="F38" s="26"/>
      <c r="G38" s="26"/>
      <c r="H38" s="26"/>
      <c r="I38" s="26"/>
      <c r="J38" s="26"/>
    </row>
    <row r="39" spans="2:10" ht="30" customHeight="1" x14ac:dyDescent="0.2"/>
    <row r="40" spans="2:10" ht="30" customHeight="1" x14ac:dyDescent="0.2"/>
    <row r="41" spans="2:10" ht="30" customHeight="1" x14ac:dyDescent="0.2"/>
    <row r="42" spans="2:10" ht="30" customHeight="1" x14ac:dyDescent="0.2"/>
    <row r="43" spans="2:10" ht="30" customHeight="1" x14ac:dyDescent="0.2"/>
    <row r="44" spans="2:10" ht="30" customHeight="1" x14ac:dyDescent="0.2"/>
    <row r="45" spans="2:10" ht="30" customHeight="1" x14ac:dyDescent="0.2"/>
    <row r="46" spans="2:10" ht="30" customHeight="1" x14ac:dyDescent="0.2"/>
    <row r="47" spans="2:10" ht="30" customHeight="1" x14ac:dyDescent="0.2"/>
    <row r="48" spans="2:10" ht="30" customHeight="1" x14ac:dyDescent="0.2"/>
    <row r="49" ht="30" customHeight="1" x14ac:dyDescent="0.2"/>
    <row r="50" ht="30" customHeight="1" x14ac:dyDescent="0.2"/>
    <row r="51" ht="30" customHeight="1" x14ac:dyDescent="0.2"/>
    <row r="53" ht="30" customHeight="1" x14ac:dyDescent="0.2"/>
    <row r="54" ht="30" customHeight="1" x14ac:dyDescent="0.2"/>
    <row r="55" ht="30" customHeight="1" x14ac:dyDescent="0.2"/>
    <row r="56" ht="30" customHeight="1" x14ac:dyDescent="0.2"/>
    <row r="57" ht="30" customHeight="1" x14ac:dyDescent="0.2"/>
    <row r="58" ht="30" customHeight="1" x14ac:dyDescent="0.2"/>
    <row r="59" ht="30" customHeight="1" x14ac:dyDescent="0.2"/>
    <row r="60" ht="30" customHeight="1" x14ac:dyDescent="0.2"/>
    <row r="61" ht="30" customHeight="1" x14ac:dyDescent="0.2"/>
    <row r="62" ht="30" customHeight="1" x14ac:dyDescent="0.2"/>
    <row r="63" ht="30" customHeight="1" x14ac:dyDescent="0.2"/>
    <row r="64" ht="30" customHeight="1" x14ac:dyDescent="0.2"/>
    <row r="65" ht="30" customHeight="1" x14ac:dyDescent="0.2"/>
    <row r="67" ht="30.75" customHeight="1" x14ac:dyDescent="0.2"/>
  </sheetData>
  <mergeCells count="1">
    <mergeCell ref="B1:F1"/>
  </mergeCells>
  <dataValidations count="2">
    <dataValidation type="list" allowBlank="1" showInputMessage="1" showErrorMessage="1" sqref="C5" xr:uid="{CEF38174-945A-4C49-943A-9E92B7BC85B1}">
      <formula1>"DCFC, Public, Workplace, Multi-Unit Dwelling, Fleet"</formula1>
    </dataValidation>
    <dataValidation type="list" allowBlank="1" showInputMessage="1" showErrorMessage="1" sqref="J15:J18 J40:J45 J47:J51 J33:J38 J30:J31 J20:J28" xr:uid="{3AB12B14-F1A4-4864-8CA3-F0C01BEE1330}">
      <formula1>"Yes, No"</formula1>
    </dataValidation>
  </dataValidations>
  <hyperlinks>
    <hyperlink ref="B1:F1" r:id="rId1" display="https://www.eversource.com/content/business/save-money-energy/clean-energy-options/electric-vehicles/business-ev-charging-rebates/massachusetts-ev-charging-rebates-process" xr:uid="{EC043A89-8D5F-45BB-B7CF-548CA63DE289}"/>
  </hyperlinks>
  <pageMargins left="0.7" right="0.7" top="0.75" bottom="0.75" header="0.3" footer="0.3"/>
  <pageSetup orientation="portrait"/>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8C393-4815-4E51-9E12-4F0FC0294490}">
  <sheetPr codeName="Sheet4">
    <tabColor theme="9"/>
  </sheetPr>
  <dimension ref="A1:A17"/>
  <sheetViews>
    <sheetView workbookViewId="0">
      <selection activeCell="A18" sqref="A18"/>
    </sheetView>
  </sheetViews>
  <sheetFormatPr defaultRowHeight="14.25" x14ac:dyDescent="0.2"/>
  <cols>
    <col min="1" max="1" width="63.875" customWidth="1"/>
  </cols>
  <sheetData>
    <row r="1" spans="1:1" x14ac:dyDescent="0.2">
      <c r="A1" t="s">
        <v>120</v>
      </c>
    </row>
    <row r="2" spans="1:1" x14ac:dyDescent="0.2">
      <c r="A2" t="s">
        <v>121</v>
      </c>
    </row>
    <row r="3" spans="1:1" x14ac:dyDescent="0.2">
      <c r="A3" t="s">
        <v>122</v>
      </c>
    </row>
    <row r="4" spans="1:1" x14ac:dyDescent="0.2">
      <c r="A4" t="s">
        <v>123</v>
      </c>
    </row>
    <row r="5" spans="1:1" x14ac:dyDescent="0.2">
      <c r="A5" t="s">
        <v>124</v>
      </c>
    </row>
    <row r="6" spans="1:1" x14ac:dyDescent="0.2">
      <c r="A6" t="s">
        <v>125</v>
      </c>
    </row>
    <row r="7" spans="1:1" x14ac:dyDescent="0.2">
      <c r="A7" t="s">
        <v>126</v>
      </c>
    </row>
    <row r="8" spans="1:1" x14ac:dyDescent="0.2">
      <c r="A8" t="s">
        <v>127</v>
      </c>
    </row>
    <row r="9" spans="1:1" x14ac:dyDescent="0.2">
      <c r="A9" t="s">
        <v>128</v>
      </c>
    </row>
    <row r="10" spans="1:1" x14ac:dyDescent="0.2">
      <c r="A10" t="s">
        <v>129</v>
      </c>
    </row>
    <row r="11" spans="1:1" x14ac:dyDescent="0.2">
      <c r="A11" t="s">
        <v>130</v>
      </c>
    </row>
    <row r="12" spans="1:1" x14ac:dyDescent="0.2">
      <c r="A12" t="s">
        <v>131</v>
      </c>
    </row>
    <row r="13" spans="1:1" x14ac:dyDescent="0.2">
      <c r="A13" t="s">
        <v>132</v>
      </c>
    </row>
    <row r="14" spans="1:1" x14ac:dyDescent="0.2">
      <c r="A14" t="s">
        <v>133</v>
      </c>
    </row>
    <row r="15" spans="1:1" x14ac:dyDescent="0.2">
      <c r="A15" t="s">
        <v>134</v>
      </c>
    </row>
    <row r="16" spans="1:1" ht="28.5" x14ac:dyDescent="0.2">
      <c r="A16" t="s">
        <v>135</v>
      </c>
    </row>
    <row r="17" spans="1:1" x14ac:dyDescent="0.2">
      <c r="A17" t="s">
        <v>136</v>
      </c>
    </row>
  </sheetData>
  <pageMargins left="0.7" right="0.7" top="0.75" bottom="0.75" header="0.3" footer="0.3"/>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48b2d9f-8bc9-4365-8c41-1fcc7ecbbcfa">
      <UserInfo>
        <DisplayName/>
        <AccountId xsi:nil="true"/>
        <AccountType/>
      </UserInfo>
    </SharedWithUsers>
    <lcf76f155ced4ddcb4097134ff3c332f xmlns="c94ac7cc-5d14-4e9b-bc50-2b2ba43ce9ec">
      <Terms xmlns="http://schemas.microsoft.com/office/infopath/2007/PartnerControls"/>
    </lcf76f155ced4ddcb4097134ff3c332f>
    <TaxCatchAll xmlns="63d31250-ea00-458f-94f6-af4a64f37f9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E81C3C2B3B1E34BAF9CB24856428172" ma:contentTypeVersion="18" ma:contentTypeDescription="Create a new document." ma:contentTypeScope="" ma:versionID="f767bdf7a30ec01697c57a46845802a1">
  <xsd:schema xmlns:xsd="http://www.w3.org/2001/XMLSchema" xmlns:xs="http://www.w3.org/2001/XMLSchema" xmlns:p="http://schemas.microsoft.com/office/2006/metadata/properties" xmlns:ns2="c94ac7cc-5d14-4e9b-bc50-2b2ba43ce9ec" xmlns:ns3="63d31250-ea00-458f-94f6-af4a64f37f97" xmlns:ns4="748b2d9f-8bc9-4365-8c41-1fcc7ecbbcfa" targetNamespace="http://schemas.microsoft.com/office/2006/metadata/properties" ma:root="true" ma:fieldsID="f56b30fa6fb4d8080be5d1191cb3d89b" ns2:_="" ns3:_="" ns4:_="">
    <xsd:import namespace="c94ac7cc-5d14-4e9b-bc50-2b2ba43ce9ec"/>
    <xsd:import namespace="63d31250-ea00-458f-94f6-af4a64f37f97"/>
    <xsd:import namespace="748b2d9f-8bc9-4365-8c41-1fcc7ecbbcf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4:SharedWithUsers" minOccurs="0"/>
                <xsd:element ref="ns4:SharedWithDetails"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4ac7cc-5d14-4e9b-bc50-2b2ba43ce9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c73404c-21bf-4c61-9cc0-b139490ad1d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d31250-ea00-458f-94f6-af4a64f37f9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36ba064-7e54-410a-8cfc-0a86ba5e5e81}" ma:internalName="TaxCatchAll" ma:showField="CatchAllData" ma:web="748b2d9f-8bc9-4365-8c41-1fcc7ecbbcf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48b2d9f-8bc9-4365-8c41-1fcc7ecbbcfa"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B1D661-1333-470A-8710-B78E784A956C}">
  <ds:schemaRefs>
    <ds:schemaRef ds:uri="http://schemas.microsoft.com/office/2006/metadata/properties"/>
    <ds:schemaRef ds:uri="http://schemas.microsoft.com/office/infopath/2007/PartnerControls"/>
    <ds:schemaRef ds:uri="748b2d9f-8bc9-4365-8c41-1fcc7ecbbcfa"/>
    <ds:schemaRef ds:uri="c94ac7cc-5d14-4e9b-bc50-2b2ba43ce9ec"/>
    <ds:schemaRef ds:uri="63d31250-ea00-458f-94f6-af4a64f37f97"/>
  </ds:schemaRefs>
</ds:datastoreItem>
</file>

<file path=customXml/itemProps2.xml><?xml version="1.0" encoding="utf-8"?>
<ds:datastoreItem xmlns:ds="http://schemas.openxmlformats.org/officeDocument/2006/customXml" ds:itemID="{99840ED9-D77D-4F13-B1AF-83AACA7B67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4ac7cc-5d14-4e9b-bc50-2b2ba43ce9ec"/>
    <ds:schemaRef ds:uri="63d31250-ea00-458f-94f6-af4a64f37f97"/>
    <ds:schemaRef ds:uri="748b2d9f-8bc9-4365-8c41-1fcc7ecbbc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C5BA32-803B-47A1-923E-C9461DC002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Cost Matrix ESMA</vt:lpstr>
      <vt:lpstr>Utility-Side vs Customer-Side</vt:lpstr>
      <vt:lpstr>Additional Items</vt:lpstr>
      <vt:lpstr>MA Cheat Sheet</vt:lpstr>
      <vt:lpstr>Changes</vt:lpstr>
      <vt:lpstr>ColumnTitle1</vt:lpstr>
      <vt:lpstr>'Cost Matrix ESMA'!Print_Area</vt:lpstr>
      <vt:lpstr>'Cost Matrix ESMA'!Print_Titles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Andrade, Christopher R</dc:creator>
  <cp:keywords/>
  <dc:description/>
  <cp:lastModifiedBy>Yancich, Christopher T</cp:lastModifiedBy>
  <cp:revision>1</cp:revision>
  <dcterms:created xsi:type="dcterms:W3CDTF">2025-05-12T16:15:10Z</dcterms:created>
  <dcterms:modified xsi:type="dcterms:W3CDTF">2026-03-17T14:31:11Z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ProgID">
    <vt:lpwstr/>
  </property>
  <property fmtid="{D5CDD505-2E9C-101B-9397-08002B2CF9AE}" pid="3" name="MediaServiceImageTags">
    <vt:lpwstr/>
  </property>
  <property fmtid="{D5CDD505-2E9C-101B-9397-08002B2CF9AE}" pid="4" name="ContentTypeId">
    <vt:lpwstr>0x0101007E81C3C2B3B1E34BAF9CB24856428172</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